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2971a94e51fa4eba" /><Relationship Id="rId2" Type="http://schemas.microsoft.com/office/2020/02/relationships/classificationlabels" Target="docMetadata/LabelInfo.xml" /></Relationships>
</file>

<file path=xl/workbook.xml><?xml version="1.0" encoding="utf-8"?>
<x:workbook xmlns:x="http://schemas.openxmlformats.org/spreadsheetml/2006/main">
  <x:sheets>
    <x:sheet xmlns:r="http://schemas.openxmlformats.org/officeDocument/2006/relationships" name="README" sheetId="1" r:id="R5b86598095474172"/>
    <x:sheet xmlns:r="http://schemas.openxmlformats.org/officeDocument/2006/relationships" name="Facilitator Summary" sheetId="2" r:id="R8613f58836104254"/>
    <x:sheet xmlns:r="http://schemas.openxmlformats.org/officeDocument/2006/relationships" name="Trade_Data" sheetId="3" r:id="R4d4bc4cc6c824a38"/>
    <x:sheet xmlns:r="http://schemas.openxmlformats.org/officeDocument/2006/relationships" name="Prompts" sheetId="4" r:id="Rc37ef315349149e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164" formatCode="yyyy-mm-dd"/>
    <x:numFmt numFmtId="165" formatCode="#,##0.0"/>
    <x:numFmt numFmtId="166" formatCode="0.0%"/>
    <x:numFmt numFmtId="167" formatCode="+0.0;-0.0;0.0"/>
    <x:numFmt numFmtId="168" formatCode="+0.00;-0.00"/>
    <x:numFmt numFmtId="169" formatCode="+0.0;-0.0"/>
  </x:numFmts>
  <x:fonts count="8">
    <x:font>
      <x:sz val="11"/>
      <x:color theme="1"/>
      <x:name val="Calibri"/>
    </x:font>
    <x:font>
      <x:b/>
      <x:sz val="16"/>
      <x:color rgb="2F3640"/>
      <x:name val="Segoe UI"/>
    </x:font>
    <x:font>
      <x:sz val="10"/>
      <x:color rgb="666B7A"/>
      <x:name val="Segoe UI"/>
    </x:font>
    <x:font>
      <x:b/>
      <x:sz val="10"/>
      <x:color rgb="8A1C1C"/>
      <x:name val="Segoe UI"/>
    </x:font>
    <x:font>
      <x:b/>
      <x:sz val="10"/>
      <x:name val="Segoe UI"/>
    </x:font>
    <x:font>
      <x:sz val="10"/>
      <x:name val="Segoe UI"/>
    </x:font>
    <x:font>
      <x:b/>
      <x:sz val="12"/>
      <x:color rgb="5B5FC7"/>
      <x:name val="Segoe UI"/>
    </x:font>
    <x:font>
      <x:b/>
      <x:color rgb="FFFFFF"/>
      <x:name val="Segoe UI"/>
    </x:font>
  </x:fonts>
  <x:fills count="4">
    <x:fill>
      <x:patternFill patternType="none"/>
    </x:fill>
    <x:fill>
      <x:patternFill patternType="gray125"/>
    </x:fill>
    <x:fill>
      <x:patternFill patternType="solid">
        <x:fgColor rgb="FDECEA"/>
      </x:patternFill>
    </x:fill>
    <x:fill>
      <x:patternFill patternType="solid">
        <x:fgColor rgb="5B5FC7"/>
      </x:patternFill>
    </x:fill>
  </x:fills>
  <x:borders count="2">
    <x:border/>
    <x:border>
      <x:left style="thin">
        <x:color rgb="C9CCE8"/>
      </x:left>
      <x:right style="thin">
        <x:color rgb="C9CCE8"/>
      </x:right>
      <x:top style="thin">
        <x:color rgb="C9CCE8"/>
      </x:top>
      <x:bottom style="thin">
        <x:color rgb="C9CCE8"/>
      </x:bottom>
    </x:border>
  </x:borders>
  <x:cellStyleXfs count="1">
    <x:xf numFmtId="0" fontId="0" fillId="0" borderId="0"/>
  </x:cellStyleXfs>
  <x:cellXfs count="18">
    <x:xf numFmtId="0" fontId="0" fillId="0" borderId="0" xfId="0"/>
    <x:xf numFmtId="0" fontId="1" fillId="0" borderId="0" xfId="0"/>
    <x:xf numFmtId="0" fontId="2" fillId="0" borderId="0" xfId="0"/>
    <x:xf numFmtId="0" fontId="3" fillId="2" borderId="0" xfId="0"/>
    <x:xf numFmtId="0" fontId="0" fillId="2" borderId="0" xfId="0"/>
    <x:xf numFmtId="0" fontId="4" fillId="0" borderId="0" xfId="0"/>
    <x:xf numFmtId="0" fontId="5" fillId="0" borderId="0" xfId="0" applyAlignment="1">
      <x:alignment vertical="top" wrapText="1"/>
    </x:xf>
    <x:xf numFmtId="0" fontId="6" fillId="0" borderId="0" xfId="0"/>
    <x:xf numFmtId="0" fontId="7" fillId="3" borderId="1" xfId="0" applyAlignment="1">
      <x:alignment vertical="center" wrapText="1"/>
    </x:xf>
    <x:xf numFmtId="0" fontId="5" fillId="0" borderId="0" xfId="0"/>
    <x:xf numFmtId="165" fontId="5" fillId="0" borderId="0" xfId="0"/>
    <x:xf numFmtId="166" fontId="5" fillId="0" borderId="0" xfId="0"/>
    <x:xf numFmtId="168" fontId="5" fillId="0" borderId="0" xfId="0"/>
    <x:xf numFmtId="166" fontId="4" fillId="0" borderId="0" xfId="0"/>
    <x:xf numFmtId="1" fontId="4" fillId="0" borderId="0" xfId="0"/>
    <x:xf numFmtId="169" fontId="4" fillId="0" borderId="0" xfId="0"/>
    <x:xf numFmtId="167" fontId="5" fillId="0" borderId="0" xfId="0"/>
    <x:xf numFmtId="164" fontId="5" fillId="0" borderId="0" xfId="0"/>
  </x:cellXfs>
  <x:cellStyles count="1">
    <x:cellStyle name="Normal" xfId="0"/>
  </x:cellStyles>
  <x:dxfs count="3">
    <x:dxf>
      <x:font>
        <x:b/>
        <x:color rgb="00B42318"/>
      </x:font>
      <x:fill>
        <x:patternFill>
          <x:bgColor rgb="00FDECEA"/>
        </x:patternFill>
      </x:fill>
    </x:dxf>
    <x:dxf>
      <x:font>
        <x:b/>
        <x:color rgb="00B42318"/>
      </x:font>
    </x:dxf>
    <x:dxf>
      <x:fill>
        <x:patternFill>
          <x:bgColor rgb="00FDECE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274466532f4cf7" /><Relationship Type="http://schemas.openxmlformats.org/officeDocument/2006/relationships/theme" Target="/xl/theme/theme1.xml" Id="R484d40c136bb43a0" /><Relationship Type="http://schemas.openxmlformats.org/officeDocument/2006/relationships/sharedStrings" Target="/xl/sharedStrings.xml" Id="R5e5bc8f968a44842" /><Relationship Type="http://schemas.openxmlformats.org/officeDocument/2006/relationships/worksheet" Target="/xl/worksheets/sheet1.xml" Id="R5b86598095474172" /><Relationship Type="http://schemas.openxmlformats.org/officeDocument/2006/relationships/worksheet" Target="/xl/worksheets/sheet2.xml" Id="R8613f58836104254" /><Relationship Type="http://schemas.openxmlformats.org/officeDocument/2006/relationships/worksheet" Target="/xl/worksheets/sheet3.xml" Id="R4d4bc4cc6c824a38" /><Relationship Type="http://schemas.openxmlformats.org/officeDocument/2006/relationships/worksheet" Target="/xl/worksheets/sheet4.xml" Id="Rc37ef315349149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4dc0e46b0691486c" /><Relationship Type="http://schemas.openxmlformats.org/officeDocument/2006/relationships/chart" Target="/xl/drawings/charts/chart2.xml" Id="Ra820ac26d4464759"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a:t>Value variance vs plan by market (Q3 2026, synthetic)</a:t>
            </a:r>
          </a:p>
        </c:rich>
      </c:tx>
      <c:overlay val="0"/>
    </c:title>
    <c:autoTitleDeleted val="0"/>
    <c:plotArea>
      <c:layout/>
      <c:barChart>
        <c:barDir val="bar"/>
        <c:grouping val="clustered"/>
        <c:ser>
          <c:idx val="0"/>
          <c:order val="0"/>
          <c:tx>
            <c:strRef>
              <c:f>'Facilitator Summary'!E6</c:f>
              <c:strCache>
                <c:ptCount val="1"/>
                <c:pt idx="0">
                  <c:v/>
                </c:pt>
              </c:strCache>
            </c:strRef>
          </c:tx>
          <c:spPr>
            <a:ln xmlns:a="http://schemas.openxmlformats.org/drawingml/2006/main"/>
          </c:spPr>
          <c:cat>
            <c:strRef>
              <c:f>'Facilitator Summary'!$A$7:$A$12</c:f>
              <c:strCache>
                <c:ptCount val="0"/>
              </c:strCache>
            </c:strRef>
          </c:cat>
          <c:val>
            <c:numRef>
              <c:f>'Facilitator Summary'!$E$7:$E$12</c:f>
              <c:numCache>
                <c:formatCode>0%</c:formatCode>
                <c:ptCount val="0"/>
              </c:numCache>
            </c:numRef>
          </c:val>
        </c:ser>
        <c:gapWidth val="150"/>
        <c:axId val="48650112"/>
        <c:axId val="48672768"/>
      </c:barChart>
      <c:catAx>
        <c:axId val="48650112"/>
        <c:scaling>
          <c:orientation val="minMax"/>
        </c:scaling>
        <c:delete val="0"/>
        <c:axPos val="l"/>
        <c:numFmt formatCode=""/>
        <c:majorTickMark val="none"/>
        <c:minorTickMark val="none"/>
        <c:crossAx val="48672768"/>
        <c:crosses val="autoZero"/>
        <c:lblAlgn val="ctr"/>
        <c:lblOffset val="100"/>
        <c:noMultiLvlLbl val="0"/>
      </c:catAx>
      <c:valAx>
        <c:axId val="48672768"/>
        <c:scaling>
          <c:orientation val="minMax"/>
        </c:scaling>
        <c:delete val="0"/>
        <c:axPos val="b"/>
        <c:title>
          <c:tx>
            <c:rich>
              <a:bodyPr xmlns:a="http://schemas.openxmlformats.org/drawingml/2006/main"/>
              <a:lstStyle xmlns:a="http://schemas.openxmlformats.org/drawingml/2006/main"/>
              <a:p xmlns:a="http://schemas.openxmlformats.org/drawingml/2006/main">
                <a:r>
                  <a:rPr/>
                  <a:t>Value var %</a:t>
                </a:r>
              </a:p>
            </c:rich>
          </c:tx>
        </c:title>
        <c:numFmt formatCode="0%" sourceLinked="0"/>
        <c:majorTickMark val="none"/>
        <c:minorTickMark val="none"/>
        <c:crossAx val="48650112"/>
        <c:crosses val="autoZero"/>
        <c:crossBetween val="between"/>
      </c:valAx>
    </c:plotArea>
    <c:plotVisOnly val="1"/>
  </c:chart>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a:t>Value variance vs plan by category</a:t>
            </a:r>
          </a:p>
        </c:rich>
      </c:tx>
      <c:overlay val="0"/>
    </c:title>
    <c:autoTitleDeleted val="0"/>
    <c:plotArea>
      <c:layout/>
      <c:barChart>
        <c:barDir val="col"/>
        <c:grouping val="clustered"/>
        <c:ser>
          <c:idx val="0"/>
          <c:order val="0"/>
          <c:tx>
            <c:strRef>
              <c:f>'Facilitator Summary'!E16</c:f>
              <c:strCache>
                <c:ptCount val="1"/>
                <c:pt idx="0">
                  <c:v/>
                </c:pt>
              </c:strCache>
            </c:strRef>
          </c:tx>
          <c:spPr>
            <a:ln xmlns:a="http://schemas.openxmlformats.org/drawingml/2006/main"/>
          </c:spPr>
          <c:cat>
            <c:strRef>
              <c:f>'Facilitator Summary'!$A$17:$A$20</c:f>
              <c:strCache>
                <c:ptCount val="0"/>
              </c:strCache>
            </c:strRef>
          </c:cat>
          <c:val>
            <c:numRef>
              <c:f>'Facilitator Summary'!$E$17:$E$20</c:f>
              <c:numCache>
                <c:formatCode>0%</c:formatCode>
                <c:ptCount val="0"/>
              </c:numCache>
            </c:numRef>
          </c:val>
        </c:ser>
        <c:gapWidth val="150"/>
        <c:axId val="48650112"/>
        <c:axId val="48672768"/>
      </c:barChart>
      <c:catAx>
        <c:axId val="48650112"/>
        <c:scaling>
          <c:orientation val="minMax"/>
        </c:scaling>
        <c:delete val="0"/>
        <c:axPos val="l"/>
        <c:numFmt formatCode=""/>
        <c:majorTickMark val="none"/>
        <c:minorTickMark val="none"/>
        <c:crossAx val="48672768"/>
        <c:crosses val="autoZero"/>
        <c:lblAlgn val="ctr"/>
        <c:lblOffset val="100"/>
        <c:noMultiLvlLbl val="0"/>
      </c:catAx>
      <c:valAx>
        <c:axId val="48672768"/>
        <c:scaling>
          <c:orientation val="minMax"/>
        </c:scaling>
        <c:delete val="0"/>
        <c:axPos val="l"/>
        <c:numFmt formatCode="0%" sourceLinked="0"/>
        <c:majorTickMark val="none"/>
        <c:minorTickMark val="none"/>
        <c:crossAx val="48650112"/>
        <c:crosses val="autoZero"/>
        <c:crossBetween val="between"/>
      </c:valAx>
    </c:plotArea>
    <c:plotVisOnly val="1"/>
  </c:chart>
</c:chartSpace>
</file>

<file path=xl/drawings/drawing1.xml><?xml version="1.0" encoding="utf-8"?>
<xdr:wsDr xmlns:xdr="http://schemas.openxmlformats.org/drawingml/2006/spreadsheetDrawing">
  <xdr:twoCellAnchor>
    <xdr:from>
      <xdr:col>2</xdr:col>
      <xdr:colOff>0</xdr:colOff>
      <xdr:row>4</xdr:row>
      <xdr:rowOff>0</xdr:rowOff>
    </xdr:from>
    <xdr:to>
      <xdr:col>11</xdr:col>
      <xdr:colOff>0</xdr:colOff>
      <xdr:row>10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c0e46b0691486c"/>
        </a:graphicData>
      </a:graphic>
    </xdr:graphicFrame>
    <xdr:clientData/>
  </xdr:twoCellAnchor>
  <xdr:twoCellAnchor>
    <xdr:from>
      <xdr:col>2</xdr:col>
      <xdr:colOff>0</xdr:colOff>
      <xdr:row>10</xdr:row>
      <xdr:rowOff>0</xdr:rowOff>
    </xdr:from>
    <xdr:to>
      <xdr:col>11</xdr:col>
      <xdr:colOff>0</xdr:colOff>
      <xdr:row>21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20ac26d4464759"/>
        </a:graphicData>
      </a:graphic>
    </xdr:graphicFrame>
    <xdr:clientData/>
  </xdr:twoCellAnchor>
</xdr:wsDr>
</file>

<file path=xl/tables/table1.xml><?xml version="1.0" encoding="utf-8"?>
<x:table xmlns:x="http://schemas.openxmlformats.org/spreadsheetml/2006/main" id="1" name="TradeData" displayName="TradeData" ref="A5:W173" headerRowCount="1">
  <x:autoFilter ref="A5:W173"/>
  <x:tableColumns count="23">
    <x:tableColumn id="1" name="Record_ID"/>
    <x:tableColumn id="2" name="Quarter"/>
    <x:tableColumn id="3" name="Market"/>
    <x:tableColumn id="4" name="Channel"/>
    <x:tableColumn id="5" name="Customer_Account"/>
    <x:tableColumn id="6" name="Customer_Tier"/>
    <x:tableColumn id="7" name="Category"/>
    <x:tableColumn id="8" name="Volume_Plan_kUnits"/>
    <x:tableColumn id="9" name="Volume_Actual_kUnits"/>
    <x:tableColumn id="10" name="Volume_Var_pct"/>
    <x:tableColumn id="11" name="Value_Plan_kEUR"/>
    <x:tableColumn id="12" name="Value_Actual_kEUR"/>
    <x:tableColumn id="13" name="Value_Var_pct"/>
    <x:tableColumn id="14" name="Weighted_Distribution_pct"/>
    <x:tableColumn id="15" name="Distribution_Change_pp"/>
    <x:tableColumn id="16" name="Promo_Activity"/>
    <x:tableColumn id="17" name="Competitive_Signal"/>
    <x:tableColumn id="18" name="Open_Action"/>
    <x:tableColumn id="19" name="Action_Owner"/>
    <x:tableColumn id="20" name="Action_Due_Date"/>
    <x:tableColumn id="21" name="Action_Status"/>
    <x:tableColumn id="22" name="Decision_Topic"/>
    <x:tableColumn id="23" name="Data_Classification"/>
  </x:tableColumns>
  <x:tableStyleInfo name="TableStyleLight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12644c732614bbd" /></Relationships>
</file>

<file path=xl/worksheets/_rels/sheet3.xml.rels>&#65279;<?xml version="1.0" encoding="utf-8"?><Relationships xmlns="http://schemas.openxmlformats.org/package/2006/relationships"><Relationship Type="http://schemas.openxmlformats.org/officeDocument/2006/relationships/table" Target="/xl/tables/table1.xml" Id="R7b44544d5f4349e3" /></Relationships>
</file>

<file path=xl/worksheets/sheet1.xml><?xml version="1.0" encoding="utf-8"?>
<x:worksheet xmlns:x="http://schemas.openxmlformats.org/spreadsheetml/2006/main">
  <x:sheetFormatPr baseColWidth="8" defaultRowHeight="15"/>
  <x:cols>
    <x:col min="1" max="1" width="26" customWidth="1"/>
    <x:col min="2" max="2" width="70" customWidth="1"/>
    <x:col min="3" max="3" width="34" customWidth="1"/>
    <x:col min="4" max="4" width="30" customWidth="1"/>
  </x:cols>
  <x:sheetData>
    <x:row r="1">
      <x:c r="A1" s="1" t="inlineStr">
        <x:is>
          <x:t xml:space="preserve">BAT Regional Trade Performance - Q3 2026 (SYNTHETIC)</x:t>
        </x:is>
      </x:c>
    </x:row>
    <x:row r="2">
      <x:c r="A2" s="2" t="inlineStr">
        <x:is>
          <x:t xml:space="preserve">Dataset for the BAT TM&amp;D Copilot Immersion Experience | Trade Managers TM&amp;D | Regional Trade Business Review scenario</x:t>
        </x:is>
      </x:c>
    </x:row>
    <x:row r="3">
      <x:c r="A3" s="3" t="inlineStr">
        <x:is>
          <x:t xml:space="preserve">SYNTHETIC CIE TRAINING MATERIAL - Not official BAT information, policy, employee data, process, or findings.</x:t>
        </x:is>
      </x:c>
      <x:c r="B3" s="4" t="n"/>
      <x:c r="C3" s="4" t="n"/>
      <x:c r="D3" s="4" t="n"/>
    </x:row>
    <x:row r="5">
      <x:c r="A5" s="5" t="inlineStr">
        <x:is>
          <x:t xml:space="preserve">Purpose</x:t>
        </x:is>
      </x:c>
      <x:c r="B5" s="6" t="inlineStr">
        <x:is>
          <x:t xml:space="preserve">Practice dataset for preparing a fictional Q3 2026 Regional Trade Business Review (TBR): market analysis, customer insights, executive briefing, business review deck and action tracking with Microsoft 365 Copilot.</x:t>
        </x:is>
      </x:c>
    </x:row>
    <x:row r="6">
      <x:c r="A6" s="5" t="inlineStr">
        <x:is>
          <x:t xml:space="preserve">Classification</x:t>
        </x:is>
      </x:c>
      <x:c r="B6" s="6" t="inlineStr">
        <x:is>
          <x:t xml:space="preserve">Synthetic - CIE training only. Not official BAT data, results, plans, customers or findings. Do not use for business decisions.</x:t>
        </x:is>
      </x:c>
    </x:row>
    <x:row r="7">
      <x:c r="A7" s="5" t="inlineStr">
        <x:is>
          <x:t xml:space="preserve">Scope</x:t>
        </x:is>
      </x:c>
      <x:c r="B7" s="6" t="inlineStr">
        <x:is>
          <x:t xml:space="preserve">168 records = 6 markets x 4 channels x 7 account/category lines. Quarter: Q3 2026. Action status as of 15 October 2026.</x:t>
        </x:is>
      </x:c>
    </x:row>
    <x:row r="8">
      <x:c r="A8" s="5" t="inlineStr">
        <x:is>
          <x:t xml:space="preserve">Markets</x:t>
        </x:is>
      </x:c>
      <x:c r="B8" s="6" t="inlineStr">
        <x:is>
          <x:t xml:space="preserve">Real country names are used only as labels for a fictional region ('Region Meridian'). Every figure is generated by a fixed-seed script and is invented.</x:t>
        </x:is>
      </x:c>
    </x:row>
    <x:row r="9">
      <x:c r="A9" s="5" t="inlineStr">
        <x:is>
          <x:t xml:space="preserve">Customers</x:t>
        </x:is>
      </x:c>
      <x:c r="B9" s="6" t="inlineStr">
        <x:is>
          <x:t xml:space="preserve">All customer accounts (e.g. 'Northbridge Retail Group (PL)') are fictional. Any resemblance to real retailers is coincidental.</x:t>
        </x:is>
      </x:c>
    </x:row>
    <x:row r="10">
      <x:c r="A10" s="5" t="inlineStr">
        <x:is>
          <x:t xml:space="preserve">People</x:t>
        </x:is>
      </x:c>
      <x:c r="B10" s="6" t="inlineStr">
        <x:is>
          <x:t xml:space="preserve">No people are named. Action owners are generic role titles only.</x:t>
        </x:is>
      </x:c>
    </x:row>
    <x:row r="11">
      <x:c r="A11" s="5" t="inlineStr">
        <x:is>
          <x:t xml:space="preserve">Categories</x:t>
        </x:is>
      </x:c>
      <x:c r="B11" s="6" t="inlineStr">
        <x:is>
          <x:t xml:space="preserve">Generic category names only (Combustibles, Vapour, Heated Products, Modern Oral). No brands, no consumer-facing content.</x:t>
        </x:is>
      </x:c>
    </x:row>
    <x:row r="12">
      <x:c r="A12" s="5" t="inlineStr">
        <x:is>
          <x:t xml:space="preserve">Variance method</x:t>
        </x:is>
      </x:c>
      <x:c r="B12" s="6" t="inlineStr">
        <x:is>
          <x:t xml:space="preserve">Variance % = Actual / Plan - 1. Aggregated variances on 'Facilitator Summary' are weighted (SUMIFS Actual / SUMIFS Plan - 1), not averages of row percentages.</x:t>
        </x:is>
      </x:c>
    </x:row>
    <x:row r="13">
      <x:c r="A13" s="5" t="inlineStr">
        <x:is>
          <x:t xml:space="preserve">RAG thresholds</x:t>
        </x:is>
      </x:c>
      <x:c r="B13" s="6" t="inlineStr">
        <x:is>
          <x:t xml:space="preserve">Per the synthetic BAT Trade Business Review Framework: Green &gt;= -2.0% value vs plan; Amber -2.0% to -5.0%; Red &lt; -5.0%. Distribution drop &gt; 2.0 pp is a flag.</x:t>
        </x:is>
      </x:c>
    </x:row>
    <x:row r="14">
      <x:c r="A14" s="5" t="inlineStr">
        <x:is>
          <x:t xml:space="preserve">Policy note</x:t>
        </x:is>
      </x:c>
      <x:c r="B14" s="6" t="inlineStr">
        <x:is>
          <x:t xml:space="preserve">This workbook is evidence, not policy. Do not add it to the agent as a policy/knowledge source; the four SYNTHETIC .docx files are the agent knowledge.</x:t>
        </x:is>
      </x:c>
    </x:row>
    <x:row r="16">
      <x:c r="A16" s="7" t="inlineStr">
        <x:is>
          <x:t xml:space="preserve">Column dictionary</x:t>
        </x:is>
      </x:c>
    </x:row>
    <x:row r="17">
      <x:c r="A17" s="8" t="inlineStr">
        <x:is>
          <x:t xml:space="preserve">Column</x:t>
        </x:is>
      </x:c>
      <x:c r="B17" s="8" t="inlineStr">
        <x:is>
          <x:t xml:space="preserve">Description</x:t>
        </x:is>
      </x:c>
      <x:c r="C17" s="8" t="inlineStr">
        <x:is>
          <x:t xml:space="preserve">Type / unit</x:t>
        </x:is>
      </x:c>
      <x:c r="D17" s="8" t="inlineStr">
        <x:is>
          <x:t xml:space="preserve">Example</x:t>
        </x:is>
      </x:c>
    </x:row>
    <x:row r="18">
      <x:c r="A18" s="6" t="inlineStr">
        <x:is>
          <x:t xml:space="preserve">Record_ID</x:t>
        </x:is>
      </x:c>
      <x:c r="B18" s="6" t="inlineStr">
        <x:is>
          <x:t xml:space="preserve">Unique record key</x:t>
        </x:is>
      </x:c>
      <x:c r="C18" s="6" t="inlineStr">
        <x:is>
          <x:t xml:space="preserve">Text</x:t>
        </x:is>
      </x:c>
      <x:c r="D18" s="6" t="inlineStr">
        <x:is>
          <x:t xml:space="preserve">TBR-0001</x:t>
        </x:is>
      </x:c>
    </x:row>
    <x:row r="19">
      <x:c r="A19" s="6" t="inlineStr">
        <x:is>
          <x:t xml:space="preserve">Quarter</x:t>
        </x:is>
      </x:c>
      <x:c r="B19" s="6" t="inlineStr">
        <x:is>
          <x:t xml:space="preserve">Review period</x:t>
        </x:is>
      </x:c>
      <x:c r="C19" s="6" t="inlineStr">
        <x:is>
          <x:t xml:space="preserve">Text</x:t>
        </x:is>
      </x:c>
      <x:c r="D19" s="6" t="inlineStr">
        <x:is>
          <x:t xml:space="preserve">Q3 2026</x:t>
        </x:is>
      </x:c>
    </x:row>
    <x:row r="20">
      <x:c r="A20" s="6" t="inlineStr">
        <x:is>
          <x:t xml:space="preserve">Market</x:t>
        </x:is>
      </x:c>
      <x:c r="B20" s="6" t="inlineStr">
        <x:is>
          <x:t xml:space="preserve">Fictional-region market label (figures synthetic)</x:t>
        </x:is>
      </x:c>
      <x:c r="C20" s="6" t="inlineStr">
        <x:is>
          <x:t xml:space="preserve">Text</x:t>
        </x:is>
      </x:c>
      <x:c r="D20" s="6" t="inlineStr">
        <x:is>
          <x:t xml:space="preserve">Romania</x:t>
        </x:is>
      </x:c>
    </x:row>
    <x:row r="21">
      <x:c r="A21" s="6" t="inlineStr">
        <x:is>
          <x:t xml:space="preserve">Channel</x:t>
        </x:is>
      </x:c>
      <x:c r="B21" s="6" t="inlineStr">
        <x:is>
          <x:t xml:space="preserve">Trade channel</x:t>
        </x:is>
      </x:c>
      <x:c r="C21" s="6" t="inlineStr">
        <x:is>
          <x:t xml:space="preserve">Key Accounts / Traditional Trade / Convenience &amp; Fuel / Wholesale</x:t>
        </x:is>
      </x:c>
      <x:c r="D21" s="6" t="inlineStr">
        <x:is>
          <x:t xml:space="preserve">Traditional Trade</x:t>
        </x:is>
      </x:c>
    </x:row>
    <x:row r="22">
      <x:c r="A22" s="6" t="inlineStr">
        <x:is>
          <x:t xml:space="preserve">Customer_Account</x:t>
        </x:is>
      </x:c>
      <x:c r="B22" s="6" t="inlineStr">
        <x:is>
          <x:t xml:space="preserve">Fictional customer account (market code in brackets)</x:t>
        </x:is>
      </x:c>
      <x:c r="C22" s="6" t="inlineStr">
        <x:is>
          <x:t xml:space="preserve">Text</x:t>
        </x:is>
      </x:c>
      <x:c r="D22" s="6" t="inlineStr">
        <x:is>
          <x:t xml:space="preserve">Northbridge Retail Group (PL)</x:t>
        </x:is>
      </x:c>
    </x:row>
    <x:row r="23">
      <x:c r="A23" s="6" t="inlineStr">
        <x:is>
          <x:t xml:space="preserve">Customer_Tier</x:t>
        </x:is>
      </x:c>
      <x:c r="B23" s="6" t="inlineStr">
        <x:is>
          <x:t xml:space="preserve">Account segmentation tier</x:t>
        </x:is>
      </x:c>
      <x:c r="C23" s="6" t="inlineStr">
        <x:is>
          <x:t xml:space="preserve">Strategic / Core / Developing</x:t>
        </x:is>
      </x:c>
      <x:c r="D23" s="6" t="inlineStr">
        <x:is>
          <x:t xml:space="preserve">Core</x:t>
        </x:is>
      </x:c>
    </x:row>
    <x:row r="24">
      <x:c r="A24" s="6" t="inlineStr">
        <x:is>
          <x:t xml:space="preserve">Category</x:t>
        </x:is>
      </x:c>
      <x:c r="B24" s="6" t="inlineStr">
        <x:is>
          <x:t xml:space="preserve">Generic product category</x:t>
        </x:is>
      </x:c>
      <x:c r="C24" s="6" t="inlineStr">
        <x:is>
          <x:t xml:space="preserve">Text</x:t>
        </x:is>
      </x:c>
      <x:c r="D24" s="6" t="inlineStr">
        <x:is>
          <x:t xml:space="preserve">Modern Oral</x:t>
        </x:is>
      </x:c>
    </x:row>
    <x:row r="25">
      <x:c r="A25" s="6" t="inlineStr">
        <x:is>
          <x:t xml:space="preserve">Volume_Plan_kUnits</x:t>
        </x:is>
      </x:c>
      <x:c r="B25" s="6" t="inlineStr">
        <x:is>
          <x:t xml:space="preserve">Planned sell-in volume</x:t>
        </x:is>
      </x:c>
      <x:c r="C25" s="6" t="inlineStr">
        <x:is>
          <x:t xml:space="preserve">Thousand units</x:t>
        </x:is>
      </x:c>
      <x:c r="D25" s="6" t="inlineStr">
        <x:is>
          <x:t xml:space="preserve">412.6</x:t>
        </x:is>
      </x:c>
    </x:row>
    <x:row r="26">
      <x:c r="A26" s="6" t="inlineStr">
        <x:is>
          <x:t xml:space="preserve">Volume_Actual_kUnits</x:t>
        </x:is>
      </x:c>
      <x:c r="B26" s="6" t="inlineStr">
        <x:is>
          <x:t xml:space="preserve">Actual sell-in volume</x:t>
        </x:is>
      </x:c>
      <x:c r="C26" s="6" t="inlineStr">
        <x:is>
          <x:t xml:space="preserve">Thousand units</x:t>
        </x:is>
      </x:c>
      <x:c r="D26" s="6" t="inlineStr">
        <x:is>
          <x:t xml:space="preserve">398.0</x:t>
        </x:is>
      </x:c>
    </x:row>
    <x:row r="27">
      <x:c r="A27" s="6" t="inlineStr">
        <x:is>
          <x:t xml:space="preserve">Volume_Var_pct</x:t>
        </x:is>
      </x:c>
      <x:c r="B27" s="6" t="inlineStr">
        <x:is>
          <x:t xml:space="preserve">Volume variance vs plan</x:t>
        </x:is>
      </x:c>
      <x:c r="C27" s="6" t="inlineStr">
        <x:is>
          <x:t xml:space="preserve">% (Actual/Plan-1)</x:t>
        </x:is>
      </x:c>
      <x:c r="D27" s="6" t="inlineStr">
        <x:is>
          <x:t xml:space="preserve">-3.5%</x:t>
        </x:is>
      </x:c>
    </x:row>
    <x:row r="28">
      <x:c r="A28" s="6" t="inlineStr">
        <x:is>
          <x:t xml:space="preserve">Value_Plan_kEUR</x:t>
        </x:is>
      </x:c>
      <x:c r="B28" s="6" t="inlineStr">
        <x:is>
          <x:t xml:space="preserve">Planned net value (synthetic)</x:t>
        </x:is>
      </x:c>
      <x:c r="C28" s="6" t="inlineStr">
        <x:is>
          <x:t xml:space="preserve">Thousand EUR</x:t>
        </x:is>
      </x:c>
      <x:c r="D28" s="6" t="inlineStr">
        <x:is>
          <x:t xml:space="preserve">180.2</x:t>
        </x:is>
      </x:c>
    </x:row>
    <x:row r="29">
      <x:c r="A29" s="6" t="inlineStr">
        <x:is>
          <x:t xml:space="preserve">Value_Actual_kEUR</x:t>
        </x:is>
      </x:c>
      <x:c r="B29" s="6" t="inlineStr">
        <x:is>
          <x:t xml:space="preserve">Actual net value (synthetic)</x:t>
        </x:is>
      </x:c>
      <x:c r="C29" s="6" t="inlineStr">
        <x:is>
          <x:t xml:space="preserve">Thousand EUR</x:t>
        </x:is>
      </x:c>
      <x:c r="D29" s="6" t="inlineStr">
        <x:is>
          <x:t xml:space="preserve">171.4</x:t>
        </x:is>
      </x:c>
    </x:row>
    <x:row r="30">
      <x:c r="A30" s="6" t="inlineStr">
        <x:is>
          <x:t xml:space="preserve">Value_Var_pct</x:t>
        </x:is>
      </x:c>
      <x:c r="B30" s="6" t="inlineStr">
        <x:is>
          <x:t xml:space="preserve">Value variance vs plan</x:t>
        </x:is>
      </x:c>
      <x:c r="C30" s="6" t="inlineStr">
        <x:is>
          <x:t xml:space="preserve">% (Actual/Plan-1)</x:t>
        </x:is>
      </x:c>
      <x:c r="D30" s="6" t="inlineStr">
        <x:is>
          <x:t xml:space="preserve">-4.9%</x:t>
        </x:is>
      </x:c>
    </x:row>
    <x:row r="31">
      <x:c r="A31" s="6" t="inlineStr">
        <x:is>
          <x:t xml:space="preserve">Weighted_Distribution_pct</x:t>
        </x:is>
      </x:c>
      <x:c r="B31" s="6" t="inlineStr">
        <x:is>
          <x:t xml:space="preserve">Weighted distribution at quarter end</x:t>
        </x:is>
      </x:c>
      <x:c r="C31" s="6" t="inlineStr">
        <x:is>
          <x:t xml:space="preserve">%</x:t>
        </x:is>
      </x:c>
      <x:c r="D31" s="6" t="inlineStr">
        <x:is>
          <x:t xml:space="preserve">72.4</x:t>
        </x:is>
      </x:c>
    </x:row>
    <x:row r="32">
      <x:c r="A32" s="6" t="inlineStr">
        <x:is>
          <x:t xml:space="preserve">Distribution_Change_pp</x:t>
        </x:is>
      </x:c>
      <x:c r="B32" s="6" t="inlineStr">
        <x:is>
          <x:t xml:space="preserve">Change in weighted distribution vs prior quarter</x:t>
        </x:is>
      </x:c>
      <x:c r="C32" s="6" t="inlineStr">
        <x:is>
          <x:t xml:space="preserve">Percentage points</x:t>
        </x:is>
      </x:c>
      <x:c r="D32" s="6" t="inlineStr">
        <x:is>
          <x:t xml:space="preserve">-2.1</x:t>
        </x:is>
      </x:c>
    </x:row>
    <x:row r="33">
      <x:c r="A33" s="6" t="inlineStr">
        <x:is>
          <x:t xml:space="preserve">Promo_Activity</x:t>
        </x:is>
      </x:c>
      <x:c r="B33" s="6" t="inlineStr">
        <x:is>
          <x:t xml:space="preserve">Promotional intensity in quarter</x:t>
        </x:is>
      </x:c>
      <x:c r="C33" s="6" t="inlineStr">
        <x:is>
          <x:t xml:space="preserve">None / Standard / Intensive</x:t>
        </x:is>
      </x:c>
      <x:c r="D33" s="6" t="inlineStr">
        <x:is>
          <x:t xml:space="preserve">Intensive</x:t>
        </x:is>
      </x:c>
    </x:row>
    <x:row r="34">
      <x:c r="A34" s="6" t="inlineStr">
        <x:is>
          <x:t xml:space="preserve">Competitive_Signal</x:t>
        </x:is>
      </x:c>
      <x:c r="B34" s="6" t="inlineStr">
        <x:is>
          <x:t xml:space="preserve">Main competitive signal reported by field team</x:t>
        </x:is>
      </x:c>
      <x:c r="C34" s="6" t="inlineStr">
        <x:is>
          <x:t xml:space="preserve">Text</x:t>
        </x:is>
      </x:c>
      <x:c r="D34" s="6" t="inlineStr">
        <x:is>
          <x:t xml:space="preserve">Competitor price cut</x:t>
        </x:is>
      </x:c>
    </x:row>
    <x:row r="35">
      <x:c r="A35" s="6" t="inlineStr">
        <x:is>
          <x:t xml:space="preserve">Open_Action</x:t>
        </x:is>
      </x:c>
      <x:c r="B35" s="6" t="inlineStr">
        <x:is>
          <x:t xml:space="preserve">Follow-up action from last review ('None' if no action)</x:t>
        </x:is>
      </x:c>
      <x:c r="C35" s="6" t="inlineStr">
        <x:is>
          <x:t xml:space="preserve">Text</x:t>
        </x:is>
      </x:c>
      <x:c r="D35" s="6" t="inlineStr">
        <x:is>
          <x:t xml:space="preserve">Close distribution gap in priority outlets</x:t>
        </x:is>
      </x:c>
    </x:row>
    <x:row r="36">
      <x:c r="A36" s="6" t="inlineStr">
        <x:is>
          <x:t xml:space="preserve">Action_Owner</x:t>
        </x:is>
      </x:c>
      <x:c r="B36" s="6" t="inlineStr">
        <x:is>
          <x:t xml:space="preserve">Owner role (no personal names)</x:t>
        </x:is>
      </x:c>
      <x:c r="C36" s="6" t="inlineStr">
        <x:is>
          <x:t xml:space="preserve">Text</x:t>
        </x:is>
      </x:c>
      <x:c r="D36" s="6" t="inlineStr">
        <x:is>
          <x:t xml:space="preserve">Area Sales Manager</x:t>
        </x:is>
      </x:c>
    </x:row>
    <x:row r="37">
      <x:c r="A37" s="6" t="inlineStr">
        <x:is>
          <x:t xml:space="preserve">Action_Due_Date</x:t>
        </x:is>
      </x:c>
      <x:c r="B37" s="6" t="inlineStr">
        <x:is>
          <x:t xml:space="preserve">Action due date</x:t>
        </x:is>
      </x:c>
      <x:c r="C37" s="6" t="inlineStr">
        <x:is>
          <x:t xml:space="preserve">Date</x:t>
        </x:is>
      </x:c>
      <x:c r="D37" s="6" t="inlineStr">
        <x:is>
          <x:t xml:space="preserve">2026-09-30</x:t>
        </x:is>
      </x:c>
    </x:row>
    <x:row r="38">
      <x:c r="A38" s="6" t="inlineStr">
        <x:is>
          <x:t xml:space="preserve">Action_Status</x:t>
        </x:is>
      </x:c>
      <x:c r="B38" s="6" t="inlineStr">
        <x:is>
          <x:t xml:space="preserve">Status as of 2026-10-15</x:t>
        </x:is>
      </x:c>
      <x:c r="C38" s="6" t="inlineStr">
        <x:is>
          <x:t xml:space="preserve">Closed / On track / Not started / Overdue / No action</x:t>
        </x:is>
      </x:c>
      <x:c r="D38" s="6" t="inlineStr">
        <x:is>
          <x:t xml:space="preserve">Overdue</x:t>
        </x:is>
      </x:c>
    </x:row>
    <x:row r="39">
      <x:c r="A39" s="6" t="inlineStr">
        <x:is>
          <x:t xml:space="preserve">Decision_Topic</x:t>
        </x:is>
      </x:c>
      <x:c r="B39" s="6" t="inlineStr">
        <x:is>
          <x:t xml:space="preserve">Human decision area the action touches (see Escalation Guide)</x:t>
        </x:is>
      </x:c>
      <x:c r="C39" s="6" t="inlineStr">
        <x:is>
          <x:t xml:space="preserve">Pricing / Customer terms / Trade investment / Portfolio / Data quality / None</x:t>
        </x:is>
      </x:c>
      <x:c r="D39" s="6" t="inlineStr">
        <x:is>
          <x:t xml:space="preserve">Pricing</x:t>
        </x:is>
      </x:c>
    </x:row>
    <x:row r="40">
      <x:c r="A40" s="6" t="inlineStr">
        <x:is>
          <x:t xml:space="preserve">Data_Classification</x:t>
        </x:is>
      </x:c>
      <x:c r="B40" s="6" t="inlineStr">
        <x:is>
          <x:t xml:space="preserve">Data label</x:t>
        </x:is>
      </x:c>
      <x:c r="C40" s="6" t="inlineStr">
        <x:is>
          <x:t xml:space="preserve">Text</x:t>
        </x:is>
      </x:c>
      <x:c r="D40" s="6" t="inlineStr">
        <x:is>
          <x:t xml:space="preserve">Synthetic - CIE training only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4" customWidth="1"/>
    <x:col min="2" max="2" width="30" customWidth="1"/>
    <x:col min="3" max="3" width="16" customWidth="1"/>
    <x:col min="4" max="4" width="16" customWidth="1"/>
    <x:col min="5" max="5" width="12" customWidth="1"/>
    <x:col min="6" max="6" width="14" customWidth="1"/>
    <x:col min="7" max="7" width="12" customWidth="1"/>
    <x:col min="8" max="8" width="12" customWidth="1"/>
    <x:col min="9" max="9" width="11" customWidth="1"/>
    <x:col min="10" max="10" width="10" customWidth="1"/>
  </x:cols>
  <x:sheetData>
    <x:row r="1">
      <x:c r="A1" s="1" t="inlineStr">
        <x:is>
          <x:t xml:space="preserve">Facilitator Summary - live formulas over Trade_Data</x:t>
        </x:is>
      </x:c>
    </x:row>
    <x:row r="2">
      <x:c r="A2" s="2" t="inlineStr">
        <x:is>
          <x:t xml:space="preserve">All figures recalculate from Trade_Data (SUMIFS / COUNTIFS / AVERAGEIFS). Weighted variance = SUMIFS(Actual)/SUMIFS(Plan)-1.</x:t>
        </x:is>
      </x:c>
    </x:row>
    <x:row r="3">
      <x:c r="A3" s="3" t="inlineStr">
        <x:is>
          <x:t xml:space="preserve">SYNTHETIC CIE TRAINING MATERIAL - Not official BAT information, policy, employee data, process, or findings.</x:t>
        </x:is>
      </x:c>
      <x:c r="B3" s="4" t="n"/>
      <x:c r="C3" s="4" t="n"/>
      <x:c r="D3" s="4" t="n"/>
      <x:c r="E3" s="4" t="n"/>
      <x:c r="F3" s="4" t="n"/>
      <x:c r="G3" s="4" t="n"/>
      <x:c r="H3" s="4" t="n"/>
      <x:c r="I3" s="4" t="n"/>
      <x:c r="J3" s="4" t="n"/>
    </x:row>
    <x:row r="5">
      <x:c r="A5" s="7" t="inlineStr">
        <x:is>
          <x:t xml:space="preserve">A. Market scorecard (value vs plan)</x:t>
        </x:is>
      </x:c>
      <x:c r="B5" s="9" t="n"/>
      <x:c r="C5" s="9" t="n"/>
      <x:c r="D5" s="9" t="n"/>
      <x:c r="E5" s="9" t="n"/>
      <x:c r="F5" s="9" t="n"/>
      <x:c r="G5" s="9" t="n"/>
      <x:c r="H5" s="9" t="n"/>
      <x:c r="I5" s="9" t="n"/>
      <x:c r="J5" s="9" t="n"/>
    </x:row>
    <x:row r="6">
      <x:c r="A6" s="8" t="inlineStr">
        <x:is>
          <x:t xml:space="preserve">Market</x:t>
        </x:is>
      </x:c>
      <x:c r="B6" s="8" t="inlineStr">
        <x:is>
          <x:t xml:space="preserve">Records</x:t>
        </x:is>
      </x:c>
      <x:c r="C6" s="8" t="inlineStr">
        <x:is>
          <x:t xml:space="preserve">Value plan kEUR</x:t>
        </x:is>
      </x:c>
      <x:c r="D6" s="8" t="inlineStr">
        <x:is>
          <x:t xml:space="preserve">Value actual kEUR</x:t>
        </x:is>
      </x:c>
      <x:c r="E6" s="8" t="inlineStr">
        <x:is>
          <x:t xml:space="preserve">Value var %</x:t>
        </x:is>
      </x:c>
      <x:c r="F6" s="8" t="inlineStr">
        <x:is>
          <x:t xml:space="preserve">Avg distribution chg pp</x:t>
        </x:is>
      </x:c>
      <x:c r="G6" s="8" t="inlineStr">
        <x:is>
          <x:t xml:space="preserve">Actions (any)</x:t>
        </x:is>
      </x:c>
      <x:c r="H6" s="8" t="inlineStr">
        <x:is>
          <x:t xml:space="preserve">Overdue actions</x:t>
        </x:is>
      </x:c>
      <x:c r="I6" s="8" t="inlineStr">
        <x:is>
          <x:t xml:space="preserve">Overdue %</x:t>
        </x:is>
      </x:c>
      <x:c r="J6" s="8" t="inlineStr">
        <x:is>
          <x:t xml:space="preserve">RAG</x:t>
        </x:is>
      </x:c>
    </x:row>
    <x:row r="7">
      <x:c r="A7" s="9" t="inlineStr">
        <x:is>
          <x:t xml:space="preserve">Poland</x:t>
        </x:is>
      </x:c>
      <x:c r="B7" s="9">
        <x:f>COUNTIFS(Trade_Data!$C$6:$C$173,$A7)</x:f>
      </x:c>
      <x:c r="C7" s="10">
        <x:f>SUMIFS(Trade_Data!$K$6:$K$173,Trade_Data!$C$6:$C$173,$A7)</x:f>
      </x:c>
      <x:c r="D7" s="10">
        <x:f>SUMIFS(Trade_Data!$L$6:$L$173,Trade_Data!$C$6:$C$173,$A7)</x:f>
      </x:c>
      <x:c r="E7" s="11">
        <x:f>D7/C7-1</x:f>
      </x:c>
      <x:c r="F7" s="12">
        <x:f>AVERAGEIFS(Trade_Data!$O$6:$O$173,Trade_Data!$C$6:$C$173,$A7)</x:f>
      </x:c>
      <x:c r="G7" s="9">
        <x:f>COUNTIFS(Trade_Data!$C$6:$C$173,$A7,Trade_Data!$R$6:$R$173,"&lt;&gt;None")</x:f>
      </x:c>
      <x:c r="H7" s="9">
        <x:f>COUNTIFS(Trade_Data!$C$6:$C$173,$A7,Trade_Data!$U$6:$U$173,"Overdue")</x:f>
      </x:c>
      <x:c r="I7" s="11">
        <x:f>IF(G7=0,0,H7/G7)</x:f>
      </x:c>
      <x:c r="J7" s="9">
        <x:f>IF(E7&lt;-0.05,"Red",IF(E7&lt;-0.02,"Amber","Green"))</x:f>
      </x:c>
    </x:row>
    <x:row r="8">
      <x:c r="A8" s="9" t="inlineStr">
        <x:is>
          <x:t xml:space="preserve">Romania</x:t>
        </x:is>
      </x:c>
      <x:c r="B8" s="9">
        <x:f>COUNTIFS(Trade_Data!$C$6:$C$173,$A8)</x:f>
      </x:c>
      <x:c r="C8" s="10">
        <x:f>SUMIFS(Trade_Data!$K$6:$K$173,Trade_Data!$C$6:$C$173,$A8)</x:f>
      </x:c>
      <x:c r="D8" s="10">
        <x:f>SUMIFS(Trade_Data!$L$6:$L$173,Trade_Data!$C$6:$C$173,$A8)</x:f>
      </x:c>
      <x:c r="E8" s="11">
        <x:f>D8/C8-1</x:f>
      </x:c>
      <x:c r="F8" s="12">
        <x:f>AVERAGEIFS(Trade_Data!$O$6:$O$173,Trade_Data!$C$6:$C$173,$A8)</x:f>
      </x:c>
      <x:c r="G8" s="9">
        <x:f>COUNTIFS(Trade_Data!$C$6:$C$173,$A8,Trade_Data!$R$6:$R$173,"&lt;&gt;None")</x:f>
      </x:c>
      <x:c r="H8" s="9">
        <x:f>COUNTIFS(Trade_Data!$C$6:$C$173,$A8,Trade_Data!$U$6:$U$173,"Overdue")</x:f>
      </x:c>
      <x:c r="I8" s="11">
        <x:f>IF(G8=0,0,H8/G8)</x:f>
      </x:c>
      <x:c r="J8" s="9">
        <x:f>IF(E8&lt;-0.05,"Red",IF(E8&lt;-0.02,"Amber","Green"))</x:f>
      </x:c>
    </x:row>
    <x:row r="9">
      <x:c r="A9" s="9" t="inlineStr">
        <x:is>
          <x:t xml:space="preserve">Hungary</x:t>
        </x:is>
      </x:c>
      <x:c r="B9" s="9">
        <x:f>COUNTIFS(Trade_Data!$C$6:$C$173,$A9)</x:f>
      </x:c>
      <x:c r="C9" s="10">
        <x:f>SUMIFS(Trade_Data!$K$6:$K$173,Trade_Data!$C$6:$C$173,$A9)</x:f>
      </x:c>
      <x:c r="D9" s="10">
        <x:f>SUMIFS(Trade_Data!$L$6:$L$173,Trade_Data!$C$6:$C$173,$A9)</x:f>
      </x:c>
      <x:c r="E9" s="11">
        <x:f>D9/C9-1</x:f>
      </x:c>
      <x:c r="F9" s="12">
        <x:f>AVERAGEIFS(Trade_Data!$O$6:$O$173,Trade_Data!$C$6:$C$173,$A9)</x:f>
      </x:c>
      <x:c r="G9" s="9">
        <x:f>COUNTIFS(Trade_Data!$C$6:$C$173,$A9,Trade_Data!$R$6:$R$173,"&lt;&gt;None")</x:f>
      </x:c>
      <x:c r="H9" s="9">
        <x:f>COUNTIFS(Trade_Data!$C$6:$C$173,$A9,Trade_Data!$U$6:$U$173,"Overdue")</x:f>
      </x:c>
      <x:c r="I9" s="11">
        <x:f>IF(G9=0,0,H9/G9)</x:f>
      </x:c>
      <x:c r="J9" s="9">
        <x:f>IF(E9&lt;-0.05,"Red",IF(E9&lt;-0.02,"Amber","Green"))</x:f>
      </x:c>
    </x:row>
    <x:row r="10">
      <x:c r="A10" s="9" t="inlineStr">
        <x:is>
          <x:t xml:space="preserve">Greece</x:t>
        </x:is>
      </x:c>
      <x:c r="B10" s="9">
        <x:f>COUNTIFS(Trade_Data!$C$6:$C$173,$A10)</x:f>
      </x:c>
      <x:c r="C10" s="10">
        <x:f>SUMIFS(Trade_Data!$K$6:$K$173,Trade_Data!$C$6:$C$173,$A10)</x:f>
      </x:c>
      <x:c r="D10" s="10">
        <x:f>SUMIFS(Trade_Data!$L$6:$L$173,Trade_Data!$C$6:$C$173,$A10)</x:f>
      </x:c>
      <x:c r="E10" s="11">
        <x:f>D10/C10-1</x:f>
      </x:c>
      <x:c r="F10" s="12">
        <x:f>AVERAGEIFS(Trade_Data!$O$6:$O$173,Trade_Data!$C$6:$C$173,$A10)</x:f>
      </x:c>
      <x:c r="G10" s="9">
        <x:f>COUNTIFS(Trade_Data!$C$6:$C$173,$A10,Trade_Data!$R$6:$R$173,"&lt;&gt;None")</x:f>
      </x:c>
      <x:c r="H10" s="9">
        <x:f>COUNTIFS(Trade_Data!$C$6:$C$173,$A10,Trade_Data!$U$6:$U$173,"Overdue")</x:f>
      </x:c>
      <x:c r="I10" s="11">
        <x:f>IF(G10=0,0,H10/G10)</x:f>
      </x:c>
      <x:c r="J10" s="9">
        <x:f>IF(E10&lt;-0.05,"Red",IF(E10&lt;-0.02,"Amber","Green"))</x:f>
      </x:c>
    </x:row>
    <x:row r="11">
      <x:c r="A11" s="9" t="inlineStr">
        <x:is>
          <x:t xml:space="preserve">Türkiye</x:t>
        </x:is>
      </x:c>
      <x:c r="B11" s="9">
        <x:f>COUNTIFS(Trade_Data!$C$6:$C$173,$A11)</x:f>
      </x:c>
      <x:c r="C11" s="10">
        <x:f>SUMIFS(Trade_Data!$K$6:$K$173,Trade_Data!$C$6:$C$173,$A11)</x:f>
      </x:c>
      <x:c r="D11" s="10">
        <x:f>SUMIFS(Trade_Data!$L$6:$L$173,Trade_Data!$C$6:$C$173,$A11)</x:f>
      </x:c>
      <x:c r="E11" s="11">
        <x:f>D11/C11-1</x:f>
      </x:c>
      <x:c r="F11" s="12">
        <x:f>AVERAGEIFS(Trade_Data!$O$6:$O$173,Trade_Data!$C$6:$C$173,$A11)</x:f>
      </x:c>
      <x:c r="G11" s="9">
        <x:f>COUNTIFS(Trade_Data!$C$6:$C$173,$A11,Trade_Data!$R$6:$R$173,"&lt;&gt;None")</x:f>
      </x:c>
      <x:c r="H11" s="9">
        <x:f>COUNTIFS(Trade_Data!$C$6:$C$173,$A11,Trade_Data!$U$6:$U$173,"Overdue")</x:f>
      </x:c>
      <x:c r="I11" s="11">
        <x:f>IF(G11=0,0,H11/G11)</x:f>
      </x:c>
      <x:c r="J11" s="9">
        <x:f>IF(E11&lt;-0.05,"Red",IF(E11&lt;-0.02,"Amber","Green"))</x:f>
      </x:c>
    </x:row>
    <x:row r="12">
      <x:c r="A12" s="9" t="inlineStr">
        <x:is>
          <x:t xml:space="preserve">Bulgaria</x:t>
        </x:is>
      </x:c>
      <x:c r="B12" s="9">
        <x:f>COUNTIFS(Trade_Data!$C$6:$C$173,$A12)</x:f>
      </x:c>
      <x:c r="C12" s="10">
        <x:f>SUMIFS(Trade_Data!$K$6:$K$173,Trade_Data!$C$6:$C$173,$A12)</x:f>
      </x:c>
      <x:c r="D12" s="10">
        <x:f>SUMIFS(Trade_Data!$L$6:$L$173,Trade_Data!$C$6:$C$173,$A12)</x:f>
      </x:c>
      <x:c r="E12" s="11">
        <x:f>D12/C12-1</x:f>
      </x:c>
      <x:c r="F12" s="12">
        <x:f>AVERAGEIFS(Trade_Data!$O$6:$O$173,Trade_Data!$C$6:$C$173,$A12)</x:f>
      </x:c>
      <x:c r="G12" s="9">
        <x:f>COUNTIFS(Trade_Data!$C$6:$C$173,$A12,Trade_Data!$R$6:$R$173,"&lt;&gt;None")</x:f>
      </x:c>
      <x:c r="H12" s="9">
        <x:f>COUNTIFS(Trade_Data!$C$6:$C$173,$A12,Trade_Data!$U$6:$U$173,"Overdue")</x:f>
      </x:c>
      <x:c r="I12" s="11">
        <x:f>IF(G12=0,0,H12/G12)</x:f>
      </x:c>
      <x:c r="J12" s="9">
        <x:f>IF(E12&lt;-0.05,"Red",IF(E12&lt;-0.02,"Amber","Green"))</x:f>
      </x:c>
    </x:row>
    <x:row r="13">
      <x:c r="A13" s="5" t="inlineStr">
        <x:is>
          <x:t xml:space="preserve">Region total</x:t>
        </x:is>
      </x:c>
      <x:c r="B13" s="9">
        <x:f>SUM(B7:B12)</x:f>
      </x:c>
      <x:c r="C13" s="10">
        <x:f>SUM(C7:C12)</x:f>
      </x:c>
      <x:c r="D13" s="10">
        <x:f>SUM(D7:D12)</x:f>
      </x:c>
      <x:c r="E13" s="11">
        <x:f>D13/C13-1</x:f>
      </x:c>
      <x:c r="F13" s="12">
        <x:f>AVERAGE(Trade_Data!$O$6:$O$173)</x:f>
      </x:c>
      <x:c r="G13" s="9">
        <x:f>SUM(G7:G12)</x:f>
      </x:c>
      <x:c r="H13" s="9">
        <x:f>SUM(H7:H12)</x:f>
      </x:c>
      <x:c r="I13" s="11">
        <x:f>H13/G13</x:f>
      </x:c>
      <x:c r="J13" s="9">
        <x:f>IF(E13&lt;-0.05,"Red",IF(E13&lt;-0.02,"Amber","Green"))</x:f>
      </x:c>
    </x:row>
    <x:row r="14">
      <x:c r="A14" s="9" t="n"/>
      <x:c r="B14" s="9" t="n"/>
      <x:c r="C14" s="9" t="n"/>
      <x:c r="D14" s="9" t="n"/>
      <x:c r="E14" s="9" t="n"/>
      <x:c r="F14" s="9" t="n"/>
      <x:c r="G14" s="9" t="n"/>
      <x:c r="H14" s="9" t="n"/>
      <x:c r="I14" s="9" t="n"/>
      <x:c r="J14" s="9" t="n"/>
    </x:row>
    <x:row r="15">
      <x:c r="A15" s="7" t="inlineStr">
        <x:is>
          <x:t xml:space="preserve">B. Category view</x:t>
        </x:is>
      </x:c>
      <x:c r="B15" s="9" t="n"/>
      <x:c r="C15" s="9" t="n"/>
      <x:c r="D15" s="9" t="n"/>
      <x:c r="E15" s="9" t="n"/>
      <x:c r="F15" s="9" t="n"/>
      <x:c r="G15" s="9" t="n"/>
      <x:c r="H15" s="9" t="n"/>
      <x:c r="I15" s="9" t="n"/>
      <x:c r="J15" s="9" t="n"/>
    </x:row>
    <x:row r="16">
      <x:c r="A16" s="8" t="inlineStr">
        <x:is>
          <x:t xml:space="preserve">Category</x:t>
        </x:is>
      </x:c>
      <x:c r="B16" s="8" t="inlineStr">
        <x:is>
          <x:t xml:space="preserve">Records</x:t>
        </x:is>
      </x:c>
      <x:c r="C16" s="8" t="inlineStr">
        <x:is>
          <x:t xml:space="preserve">Value plan kEUR</x:t>
        </x:is>
      </x:c>
      <x:c r="D16" s="8" t="inlineStr">
        <x:is>
          <x:t xml:space="preserve">Value actual kEUR</x:t>
        </x:is>
      </x:c>
      <x:c r="E16" s="8" t="inlineStr">
        <x:is>
          <x:t xml:space="preserve">Value var %</x:t>
        </x:is>
      </x:c>
      <x:c r="F16" s="9" t="n"/>
      <x:c r="G16" s="9" t="n"/>
      <x:c r="H16" s="9" t="n"/>
      <x:c r="I16" s="9" t="n"/>
      <x:c r="J16" s="9" t="n"/>
    </x:row>
    <x:row r="17">
      <x:c r="A17" s="9" t="inlineStr">
        <x:is>
          <x:t xml:space="preserve">Combustibles</x:t>
        </x:is>
      </x:c>
      <x:c r="B17" s="9">
        <x:f>COUNTIFS(Trade_Data!$G$6:$G$173,$A17)</x:f>
      </x:c>
      <x:c r="C17" s="10">
        <x:f>SUMIFS(Trade_Data!$K$6:$K$173,Trade_Data!$G$6:$G$173,$A17)</x:f>
      </x:c>
      <x:c r="D17" s="10">
        <x:f>SUMIFS(Trade_Data!$L$6:$L$173,Trade_Data!$G$6:$G$173,$A17)</x:f>
      </x:c>
      <x:c r="E17" s="11">
        <x:f>D17/C17-1</x:f>
      </x:c>
      <x:c r="F17" s="9" t="n"/>
      <x:c r="G17" s="9" t="n"/>
      <x:c r="H17" s="9" t="n"/>
      <x:c r="I17" s="9" t="n"/>
      <x:c r="J17" s="9" t="n"/>
    </x:row>
    <x:row r="18">
      <x:c r="A18" s="9" t="inlineStr">
        <x:is>
          <x:t xml:space="preserve">Vapour</x:t>
        </x:is>
      </x:c>
      <x:c r="B18" s="9">
        <x:f>COUNTIFS(Trade_Data!$G$6:$G$173,$A18)</x:f>
      </x:c>
      <x:c r="C18" s="10">
        <x:f>SUMIFS(Trade_Data!$K$6:$K$173,Trade_Data!$G$6:$G$173,$A18)</x:f>
      </x:c>
      <x:c r="D18" s="10">
        <x:f>SUMIFS(Trade_Data!$L$6:$L$173,Trade_Data!$G$6:$G$173,$A18)</x:f>
      </x:c>
      <x:c r="E18" s="11">
        <x:f>D18/C18-1</x:f>
      </x:c>
      <x:c r="F18" s="9" t="n"/>
      <x:c r="G18" s="9" t="n"/>
      <x:c r="H18" s="9" t="n"/>
      <x:c r="I18" s="9" t="n"/>
      <x:c r="J18" s="9" t="n"/>
    </x:row>
    <x:row r="19">
      <x:c r="A19" s="9" t="inlineStr">
        <x:is>
          <x:t xml:space="preserve">Heated Products</x:t>
        </x:is>
      </x:c>
      <x:c r="B19" s="9">
        <x:f>COUNTIFS(Trade_Data!$G$6:$G$173,$A19)</x:f>
      </x:c>
      <x:c r="C19" s="10">
        <x:f>SUMIFS(Trade_Data!$K$6:$K$173,Trade_Data!$G$6:$G$173,$A19)</x:f>
      </x:c>
      <x:c r="D19" s="10">
        <x:f>SUMIFS(Trade_Data!$L$6:$L$173,Trade_Data!$G$6:$G$173,$A19)</x:f>
      </x:c>
      <x:c r="E19" s="11">
        <x:f>D19/C19-1</x:f>
      </x:c>
      <x:c r="F19" s="9" t="n"/>
      <x:c r="G19" s="9" t="n"/>
      <x:c r="H19" s="9" t="n"/>
      <x:c r="I19" s="9" t="n"/>
      <x:c r="J19" s="9" t="n"/>
    </x:row>
    <x:row r="20">
      <x:c r="A20" s="9" t="inlineStr">
        <x:is>
          <x:t xml:space="preserve">Modern Oral</x:t>
        </x:is>
      </x:c>
      <x:c r="B20" s="9">
        <x:f>COUNTIFS(Trade_Data!$G$6:$G$173,$A20)</x:f>
      </x:c>
      <x:c r="C20" s="10">
        <x:f>SUMIFS(Trade_Data!$K$6:$K$173,Trade_Data!$G$6:$G$173,$A20)</x:f>
      </x:c>
      <x:c r="D20" s="10">
        <x:f>SUMIFS(Trade_Data!$L$6:$L$173,Trade_Data!$G$6:$G$173,$A20)</x:f>
      </x:c>
      <x:c r="E20" s="11">
        <x:f>D20/C20-1</x:f>
      </x:c>
      <x:c r="F20" s="9" t="n"/>
      <x:c r="G20" s="9" t="n"/>
      <x:c r="H20" s="9" t="n"/>
      <x:c r="I20" s="9" t="n"/>
      <x:c r="J20" s="9" t="n"/>
    </x:row>
    <x:row r="21">
      <x:c r="A21" s="9" t="n"/>
      <x:c r="B21" s="9" t="n"/>
      <x:c r="C21" s="9" t="n"/>
      <x:c r="D21" s="9" t="n"/>
      <x:c r="E21" s="9" t="n"/>
      <x:c r="F21" s="9" t="n"/>
      <x:c r="G21" s="9" t="n"/>
      <x:c r="H21" s="9" t="n"/>
      <x:c r="I21" s="9" t="n"/>
      <x:c r="J21" s="9" t="n"/>
    </x:row>
    <x:row r="22">
      <x:c r="A22" s="7" t="inlineStr">
        <x:is>
          <x:t xml:space="preserve">C. Promotion intensity (volume vs value)</x:t>
        </x:is>
      </x:c>
      <x:c r="B22" s="9" t="n"/>
      <x:c r="C22" s="9" t="n"/>
      <x:c r="D22" s="9" t="n"/>
      <x:c r="E22" s="9" t="n"/>
      <x:c r="F22" s="9" t="n"/>
      <x:c r="G22" s="9" t="n"/>
      <x:c r="H22" s="9" t="n"/>
      <x:c r="I22" s="9" t="n"/>
      <x:c r="J22" s="9" t="n"/>
    </x:row>
    <x:row r="23">
      <x:c r="A23" s="8" t="inlineStr">
        <x:is>
          <x:t xml:space="preserve">Promo_Activity</x:t>
        </x:is>
      </x:c>
      <x:c r="B23" s="8" t="inlineStr">
        <x:is>
          <x:t xml:space="preserve">Records</x:t>
        </x:is>
      </x:c>
      <x:c r="C23" s="8" t="inlineStr">
        <x:is>
          <x:t xml:space="preserve">Volume var %</x:t>
        </x:is>
      </x:c>
      <x:c r="D23" s="8" t="inlineStr">
        <x:is>
          <x:t xml:space="preserve">Value var %</x:t>
        </x:is>
      </x:c>
      <x:c r="E23" s="9" t="n"/>
      <x:c r="F23" s="9" t="n"/>
      <x:c r="G23" s="9" t="n"/>
      <x:c r="H23" s="9" t="n"/>
      <x:c r="I23" s="9" t="n"/>
      <x:c r="J23" s="9" t="n"/>
    </x:row>
    <x:row r="24">
      <x:c r="A24" s="9" t="inlineStr">
        <x:is>
          <x:t xml:space="preserve">None</x:t>
        </x:is>
      </x:c>
      <x:c r="B24" s="9">
        <x:f>COUNTIFS(Trade_Data!$P$6:$P$173,$A24)</x:f>
      </x:c>
      <x:c r="C24" s="11">
        <x:f>SUMIFS(Trade_Data!$I$6:$I$173,Trade_Data!$P$6:$P$173,$A24)/SUMIFS(Trade_Data!$H$6:$H$173,Trade_Data!$P$6:$P$173,$A24)-1</x:f>
      </x:c>
      <x:c r="D24" s="11">
        <x:f>SUMIFS(Trade_Data!$L$6:$L$173,Trade_Data!$P$6:$P$173,$A24)/SUMIFS(Trade_Data!$K$6:$K$173,Trade_Data!$P$6:$P$173,$A24)-1</x:f>
      </x:c>
      <x:c r="E24" s="9" t="n"/>
      <x:c r="F24" s="9" t="n"/>
      <x:c r="G24" s="9" t="n"/>
      <x:c r="H24" s="9" t="n"/>
      <x:c r="I24" s="9" t="n"/>
      <x:c r="J24" s="9" t="n"/>
    </x:row>
    <x:row r="25">
      <x:c r="A25" s="9" t="inlineStr">
        <x:is>
          <x:t xml:space="preserve">Standard</x:t>
        </x:is>
      </x:c>
      <x:c r="B25" s="9">
        <x:f>COUNTIFS(Trade_Data!$P$6:$P$173,$A25)</x:f>
      </x:c>
      <x:c r="C25" s="11">
        <x:f>SUMIFS(Trade_Data!$I$6:$I$173,Trade_Data!$P$6:$P$173,$A25)/SUMIFS(Trade_Data!$H$6:$H$173,Trade_Data!$P$6:$P$173,$A25)-1</x:f>
      </x:c>
      <x:c r="D25" s="11">
        <x:f>SUMIFS(Trade_Data!$L$6:$L$173,Trade_Data!$P$6:$P$173,$A25)/SUMIFS(Trade_Data!$K$6:$K$173,Trade_Data!$P$6:$P$173,$A25)-1</x:f>
      </x:c>
      <x:c r="E25" s="9" t="n"/>
      <x:c r="F25" s="9" t="n"/>
      <x:c r="G25" s="9" t="n"/>
      <x:c r="H25" s="9" t="n"/>
      <x:c r="I25" s="9" t="n"/>
      <x:c r="J25" s="9" t="n"/>
    </x:row>
    <x:row r="26">
      <x:c r="A26" s="9" t="inlineStr">
        <x:is>
          <x:t xml:space="preserve">Intensive</x:t>
        </x:is>
      </x:c>
      <x:c r="B26" s="9">
        <x:f>COUNTIFS(Trade_Data!$P$6:$P$173,$A26)</x:f>
      </x:c>
      <x:c r="C26" s="11">
        <x:f>SUMIFS(Trade_Data!$I$6:$I$173,Trade_Data!$P$6:$P$173,$A26)/SUMIFS(Trade_Data!$H$6:$H$173,Trade_Data!$P$6:$P$173,$A26)-1</x:f>
      </x:c>
      <x:c r="D26" s="11">
        <x:f>SUMIFS(Trade_Data!$L$6:$L$173,Trade_Data!$P$6:$P$173,$A26)/SUMIFS(Trade_Data!$K$6:$K$173,Trade_Data!$P$6:$P$173,$A26)-1</x:f>
      </x:c>
      <x:c r="E26" s="9" t="n"/>
      <x:c r="F26" s="9" t="n"/>
      <x:c r="G26" s="9" t="n"/>
      <x:c r="H26" s="9" t="n"/>
      <x:c r="I26" s="9" t="n"/>
      <x:c r="J26" s="9" t="n"/>
    </x:row>
    <x:row r="27">
      <x:c r="A27" s="9" t="n"/>
      <x:c r="B27" s="9" t="n"/>
      <x:c r="C27" s="9" t="n"/>
      <x:c r="D27" s="9" t="n"/>
      <x:c r="E27" s="9" t="n"/>
      <x:c r="F27" s="9" t="n"/>
      <x:c r="G27" s="9" t="n"/>
      <x:c r="H27" s="9" t="n"/>
      <x:c r="I27" s="9" t="n"/>
      <x:c r="J27" s="9" t="n"/>
    </x:row>
    <x:row r="28">
      <x:c r="A28" s="7" t="inlineStr">
        <x:is>
          <x:t xml:space="preserve">D. Seeded insights - answer key (live metric recalculates; expected text verified with pandas)</x:t>
        </x:is>
      </x:c>
      <x:c r="B28" s="9" t="n"/>
      <x:c r="C28" s="9" t="n"/>
      <x:c r="D28" s="9" t="n"/>
      <x:c r="E28" s="9" t="n"/>
      <x:c r="F28" s="9" t="n"/>
      <x:c r="G28" s="9" t="n"/>
      <x:c r="H28" s="9" t="n"/>
      <x:c r="I28" s="9" t="n"/>
      <x:c r="J28" s="9" t="n"/>
    </x:row>
    <x:row r="29">
      <x:c r="A29" s="8" t="inlineStr">
        <x:is>
          <x:t xml:space="preserve">#</x:t>
        </x:is>
      </x:c>
      <x:c r="B29" s="8" t="inlineStr">
        <x:is>
          <x:t xml:space="preserve">Insight</x:t>
        </x:is>
      </x:c>
      <x:c r="C29" s="8" t="inlineStr">
        <x:is>
          <x:t xml:space="preserve">Live metric</x:t>
        </x:is>
      </x:c>
      <x:c r="D29" s="8" t="inlineStr">
        <x:is>
          <x:t xml:space="preserve">Answer key (expected insight)</x:t>
        </x:is>
      </x:c>
      <x:c r="E29" s="9" t="n"/>
      <x:c r="F29" s="9" t="n"/>
      <x:c r="G29" s="9" t="n"/>
      <x:c r="H29" s="9" t="n"/>
      <x:c r="I29" s="9" t="n"/>
      <x:c r="J29" s="9" t="n"/>
    </x:row>
    <x:row r="30" ht="48" customHeight="1">
      <x:c r="A30" s="9" t="n">
        <x:v>1</x:v>
      </x:c>
      <x:c r="B30" s="6" t="inlineStr">
        <x:is>
          <x:t xml:space="preserve">Region headline</x:t>
        </x:is>
      </x:c>
      <x:c r="C30" s="13">
        <x:f>SUM(Trade_Data!$L$6:$L$173)/SUM(Trade_Data!$K$6:$K$173)-1</x:f>
      </x:c>
      <x:c r="D30" s="6" t="inlineStr">
        <x:is>
          <x:t xml:space="preserve">Region Meridian Q3 2026 value is +1.7% vs plan and volume +3.5% across 168 records: overall Green, but the average hides one Red pocket.</x:t>
        </x:is>
      </x:c>
      <x:c r="E30" s="9" t="n"/>
      <x:c r="F30" s="9" t="n"/>
      <x:c r="G30" s="9" t="n"/>
      <x:c r="H30" s="9" t="n"/>
      <x:c r="I30" s="9" t="n"/>
      <x:c r="J30" s="9" t="n"/>
    </x:row>
    <x:row r="31" ht="48" customHeight="1">
      <x:c r="A31" s="9" t="n">
        <x:v>2</x:v>
      </x:c>
      <x:c r="B31" s="6" t="inlineStr">
        <x:is>
          <x:t xml:space="preserve">Romania Traditional Trade is the only Red market-channel</x:t>
        </x:is>
      </x:c>
      <x:c r="C31" s="13">
        <x:f>SUMIFS(Trade_Data!$L$6:$L$173,Trade_Data!$C$6:$C$173,"Romania",Trade_Data!$D$6:$D$173,"Traditional Trade")/SUMIFS(Trade_Data!$K$6:$K$173,Trade_Data!$C$6:$C$173,"Romania",Trade_Data!$D$6:$D$173,"Traditional Trade")-1</x:f>
      </x:c>
      <x:c r="D31" s="6" t="inlineStr">
        <x:is>
          <x:t xml:space="preserve">Romania Traditional Trade value -7.7% vs plan (n=7), avg distribution -1.9 pp; rest of Romania +1.0%. Only market-channel below the -5% Red threshold -&gt; root cause required.</x:t>
        </x:is>
      </x:c>
      <x:c r="E31" s="9" t="n"/>
      <x:c r="F31" s="9" t="n"/>
      <x:c r="G31" s="9" t="n"/>
      <x:c r="H31" s="9" t="n"/>
      <x:c r="I31" s="9" t="n"/>
      <x:c r="J31" s="9" t="n"/>
    </x:row>
    <x:row r="32" ht="48" customHeight="1">
      <x:c r="A32" s="9" t="n">
        <x:v>3</x:v>
      </x:c>
      <x:c r="B32" s="6" t="inlineStr">
        <x:is>
          <x:t xml:space="preserve">Türkiye Convenience &amp; Fuel under competitor price pressure</x:t>
        </x:is>
      </x:c>
      <x:c r="C32" s="14">
        <x:f>COUNTIFS(Trade_Data!$C$6:$C$173,"Türkiye",Trade_Data!$D$6:$D$173,"Convenience &amp; Fuel",Trade_Data!$Q$6:$Q$173,"Competitor price cut")</x:f>
      </x:c>
      <x:c r="D32" s="6" t="inlineStr">
        <x:is>
          <x:t xml:space="preserve">6 of 7 Türkiye Convenience &amp; Fuel records report a competitor price cut (all 6 price-cut signals in the region); avg distribution -3.3 pp; value -2.9% (Amber). Pricing response = human RGM decision.</x:t>
        </x:is>
      </x:c>
      <x:c r="E32" s="9" t="n"/>
      <x:c r="F32" s="9" t="n"/>
      <x:c r="G32" s="9" t="n"/>
      <x:c r="H32" s="9" t="n"/>
      <x:c r="I32" s="9" t="n"/>
      <x:c r="J32" s="9" t="n"/>
    </x:row>
    <x:row r="33" ht="48" customHeight="1">
      <x:c r="A33" s="9" t="n">
        <x:v>4</x:v>
      </x:c>
      <x:c r="B33" s="6" t="inlineStr">
        <x:is>
          <x:t xml:space="preserve">Hungary Key Accounts distribution-led growth</x:t>
        </x:is>
      </x:c>
      <x:c r="C33" s="15">
        <x:f>AVERAGEIFS(Trade_Data!$O$6:$O$173,Trade_Data!$C$6:$C$173,"Hungary",Trade_Data!$D$6:$D$173,"Key Accounts")</x:f>
      </x:c>
      <x:c r="D33" s="6" t="inlineStr">
        <x:is>
          <x:t xml:space="preserve">Hungary Key Accounts avg distribution +4.1 pp (n=7) with value +10.9% vs plan - best-practice candidate to share.</x:t>
        </x:is>
      </x:c>
      <x:c r="E33" s="9" t="n"/>
      <x:c r="F33" s="9" t="n"/>
      <x:c r="G33" s="9" t="n"/>
      <x:c r="H33" s="9" t="n"/>
      <x:c r="I33" s="9" t="n"/>
      <x:c r="J33" s="9" t="n"/>
    </x:row>
    <x:row r="34" ht="48" customHeight="1">
      <x:c r="A34" s="9" t="n">
        <x:v>5</x:v>
      </x:c>
      <x:c r="B34" s="6" t="inlineStr">
        <x:is>
          <x:t xml:space="preserve">Modern Oral growth vs Combustibles decline</x:t>
        </x:is>
      </x:c>
      <x:c r="C34" s="13">
        <x:f>SUMIFS(Trade_Data!$L$6:$L$173,Trade_Data!$G$6:$G$173,"Modern Oral")/SUMIFS(Trade_Data!$K$6:$K$173,Trade_Data!$G$6:$G$173,"Modern Oral")-1</x:f>
      </x:c>
      <x:c r="D34" s="6" t="inlineStr">
        <x:is>
          <x:t xml:space="preserve">Modern Oral value +10.8% vs plan; Combustibles -3.9%; Vapour -0.2%; Heated Products +0.6%.</x:t>
        </x:is>
      </x:c>
      <x:c r="E34" s="9" t="n"/>
      <x:c r="F34" s="9" t="n"/>
      <x:c r="G34" s="9" t="n"/>
      <x:c r="H34" s="9" t="n"/>
      <x:c r="I34" s="9" t="n"/>
      <x:c r="J34" s="9" t="n"/>
    </x:row>
    <x:row r="35" ht="48" customHeight="1">
      <x:c r="A35" s="9" t="n">
        <x:v>6</x:v>
      </x:c>
      <x:c r="B35" s="6" t="inlineStr">
        <x:is>
          <x:t xml:space="preserve">Intensive promotions buy volume, not value</x:t>
        </x:is>
      </x:c>
      <x:c r="C35" s="13">
        <x:f>SUMIFS(Trade_Data!$L$6:$L$173,Trade_Data!$P$6:$P$173,"Intensive")/SUMIFS(Trade_Data!$K$6:$K$173,Trade_Data!$P$6:$P$173,"Intensive")-1</x:f>
      </x:c>
      <x:c r="D35" s="6" t="inlineStr">
        <x:is>
          <x:t xml:space="preserve">Intensive promo records (n=31): volume +6.1% but value -2.1%; no-promo records (n=70): value +1.7%. ROI review needed before Q4 investment.</x:t>
        </x:is>
      </x:c>
      <x:c r="E35" s="9" t="n"/>
      <x:c r="F35" s="9" t="n"/>
      <x:c r="G35" s="9" t="n"/>
      <x:c r="H35" s="9" t="n"/>
      <x:c r="I35" s="9" t="n"/>
      <x:c r="J35" s="9" t="n"/>
    </x:row>
    <x:row r="36" ht="48" customHeight="1">
      <x:c r="A36" s="9" t="n">
        <x:v>7</x:v>
      </x:c>
      <x:c r="B36" s="6" t="inlineStr">
        <x:is>
          <x:t xml:space="preserve">Action follow-through gap concentrated in Greece</x:t>
        </x:is>
      </x:c>
      <x:c r="C36" s="14">
        <x:f>COUNTIFS(Trade_Data!$C$6:$C$173,"Greece",Trade_Data!$U$6:$U$173,"Overdue")</x:f>
      </x:c>
      <x:c r="D36" s="6" t="inlineStr">
        <x:is>
          <x:t xml:space="preserve">30 of 114 actions overdue (26.3%); Greece has 18 of its 25 actions overdue (72%) = 60% of all overdue actions. 27 of the 30 overdue actions are &gt;14 days late -&gt; escalate to Regional TM&amp;D Lead per guide.</x:t>
        </x:is>
      </x:c>
      <x:c r="E36" s="9" t="n"/>
      <x:c r="F36" s="9" t="n"/>
      <x:c r="G36" s="9" t="n"/>
      <x:c r="H36" s="9" t="n"/>
      <x:c r="I36" s="9" t="n"/>
      <x:c r="J36" s="9" t="n"/>
    </x:row>
    <x:row r="37" ht="48" customHeight="1">
      <x:c r="A37" s="9" t="n">
        <x:v>8</x:v>
      </x:c>
      <x:c r="B37" s="6" t="inlineStr">
        <x:is>
          <x:t xml:space="preserve">Open actions needing a human decision</x:t>
        </x:is>
      </x:c>
      <x:c r="C37" s="14">
        <x:f>COUNTIFS(Trade_Data!$V$6:$V$173,"Pricing",Trade_Data!$U$6:$U$173,"&lt;&gt;Closed")+COUNTIFS(Trade_Data!$V$6:$V$173,"Customer terms",Trade_Data!$U$6:$U$173,"&lt;&gt;Closed")+COUNTIFS(Trade_Data!$V$6:$V$173,"Trade investment",Trade_Data!$U$6:$U$173,"&lt;&gt;Closed")+COUNTIFS(Trade_Data!$V$6:$V$173,"Portfolio",Trade_Data!$U$6:$U$173,"&lt;&gt;Closed")</x:f>
      </x:c>
      <x:c r="D37" s="6" t="inlineStr">
        <x:is>
          <x:t xml:space="preserve">42 open (not closed) actions touch pricing (2), customer terms (17), trade investment (7) or portfolio (16) - Copilot/agent may prepare options; humans decide.</x:t>
        </x:is>
      </x:c>
      <x:c r="E37" s="9" t="n"/>
      <x:c r="F37" s="9" t="n"/>
      <x:c r="G37" s="9" t="n"/>
      <x:c r="H37" s="9" t="n"/>
      <x:c r="I37" s="9" t="n"/>
      <x:c r="J37" s="9" t="n"/>
    </x:row>
    <x:row r="38">
      <x:c r="A38" s="9" t="n"/>
      <x:c r="B38" s="9" t="n"/>
      <x:c r="C38" s="9" t="n"/>
      <x:c r="D38" s="9" t="n"/>
      <x:c r="E38" s="9" t="n"/>
      <x:c r="F38" s="9" t="n"/>
      <x:c r="G38" s="9" t="n"/>
      <x:c r="H38" s="9" t="n"/>
      <x:c r="I38" s="9" t="n"/>
      <x:c r="J38" s="9" t="n"/>
    </x:row>
  </x:sheetData>
  <x:mergeCells>
    <x:mergeCell ref="D31:J31"/>
    <x:mergeCell ref="D32:J32"/>
    <x:mergeCell ref="D36:J36"/>
    <x:mergeCell ref="D35:J35"/>
    <x:mergeCell ref="D34:J34"/>
    <x:mergeCell ref="D30:J30"/>
    <x:mergeCell ref="D33:J33"/>
    <x:mergeCell ref="D37:J37"/>
  </x:mergeCells>
  <x:conditionalFormatting sqref="J7:J7">
    <x:cfRule type="cellIs" dxfId="0" priority="1" operator="equal">
      <x:formula>"Red"</x:formula>
    </x:cfRule>
  </x:conditionalFormatting>
  <x:conditionalFormatting sqref="J8:J8">
    <x:cfRule type="cellIs" dxfId="0" priority="2" operator="equal">
      <x:formula>"Red"</x:formula>
    </x:cfRule>
  </x:conditionalFormatting>
  <x:conditionalFormatting sqref="J9:J9">
    <x:cfRule type="cellIs" dxfId="0" priority="3" operator="equal">
      <x:formula>"Red"</x:formula>
    </x:cfRule>
  </x:conditionalFormatting>
  <x:conditionalFormatting sqref="J10:J10">
    <x:cfRule type="cellIs" dxfId="0" priority="4" operator="equal">
      <x:formula>"Red"</x:formula>
    </x:cfRule>
  </x:conditionalFormatting>
  <x:conditionalFormatting sqref="J11:J11">
    <x:cfRule type="cellIs" dxfId="0" priority="5" operator="equal">
      <x:formula>"Red"</x:formula>
    </x:cfRule>
  </x:conditionalFormatting>
  <x:conditionalFormatting sqref="J12:J12">
    <x:cfRule type="cellIs" dxfId="0" priority="6" operator="equal">
      <x:formula>"Red"</x:formula>
    </x:cfRule>
  </x:conditionalFormatting>
  <x:conditionalFormatting sqref="J13:J13">
    <x:cfRule type="cellIs" dxfId="0" priority="7" operator="equal">
      <x:formula>"Red"</x:formula>
    </x:cfRule>
  </x:conditionalFormatting>
  <x:pageMargins left="0.7" right="0.7" top="0.75" bottom="0.75" header="0.3" footer="0.3"/>
  <x:drawing xmlns:r="http://schemas.openxmlformats.org/officeDocument/2006/relationships" r:id="R212644c732614bbd"/>
</x:worksheet>
</file>

<file path=xl/worksheets/sheet3.xml><?xml version="1.0" encoding="utf-8"?>
<x:worksheet xmlns:x="http://schemas.openxmlformats.org/spreadsheetml/2006/main">
  <x:sheetFormatPr baseColWidth="8" defaultRowHeight="15"/>
  <x:cols>
    <x:col min="1" max="1" width="11" customWidth="1"/>
    <x:col min="2" max="2" width="9" customWidth="1"/>
    <x:col min="3" max="3" width="11" customWidth="1"/>
    <x:col min="4" max="4" width="18" customWidth="1"/>
    <x:col min="5" max="5" width="36" customWidth="1"/>
    <x:col min="6" max="6" width="11" customWidth="1"/>
    <x:col min="7" max="7" width="15" customWidth="1"/>
    <x:col min="8" max="8" width="11" customWidth="1"/>
    <x:col min="9" max="9" width="11" customWidth="1"/>
    <x:col min="10" max="10" width="9" customWidth="1"/>
    <x:col min="11" max="11" width="11" customWidth="1"/>
    <x:col min="12" max="12" width="11" customWidth="1"/>
    <x:col min="13" max="13" width="9" customWidth="1"/>
    <x:col min="14" max="14" width="11" customWidth="1"/>
    <x:col min="15" max="15" width="11" customWidth="1"/>
    <x:col min="16" max="16" width="11" customWidth="1"/>
    <x:col min="17" max="17" width="22" customWidth="1"/>
    <x:col min="18" max="18" width="52" customWidth="1"/>
    <x:col min="19" max="19" width="30" customWidth="1"/>
    <x:col min="20" max="20" width="12" customWidth="1"/>
    <x:col min="21" max="21" width="12" customWidth="1"/>
    <x:col min="22" max="22" width="16" customWidth="1"/>
    <x:col min="23" max="23" width="26" customWidth="1"/>
  </x:cols>
  <x:sheetData>
    <x:row r="1">
      <x:c r="A1" s="1" t="inlineStr">
        <x:is>
          <x:t xml:space="preserve">Trade_Data - Q3 2026 regional trade performance (SYNTHETIC)</x:t>
        </x:is>
      </x:c>
    </x:row>
    <x:row r="2">
      <x:c r="A2" s="2" t="inlineStr">
        <x:is>
          <x:t xml:space="preserve">168 records | fictional accounts | figures invented | Table name: TradeData</x:t>
        </x:is>
      </x:c>
    </x:row>
    <x:row r="3">
      <x:c r="A3" s="3" t="inlineStr">
        <x:is>
          <x:t xml:space="preserve">SYNTHETIC CIE TRAINING MATERIAL - Not official BAT information, policy, employee data, process, or findings.</x:t>
        </x:is>
      </x:c>
      <x:c r="B3" s="4" t="n"/>
      <x:c r="C3" s="4" t="n"/>
      <x:c r="D3" s="4" t="n"/>
      <x:c r="E3" s="4" t="n"/>
      <x:c r="F3" s="4" t="n"/>
      <x:c r="G3" s="4" t="n"/>
      <x:c r="H3" s="4" t="n"/>
      <x:c r="I3" s="4" t="n"/>
      <x:c r="J3" s="4" t="n"/>
      <x:c r="K3" s="4" t="n"/>
      <x:c r="L3" s="4" t="n"/>
      <x:c r="M3" s="4" t="n"/>
      <x:c r="N3" s="4" t="n"/>
      <x:c r="O3" s="4" t="n"/>
      <x:c r="P3" s="4" t="n"/>
      <x:c r="Q3" s="4" t="n"/>
      <x:c r="R3" s="4" t="n"/>
      <x:c r="S3" s="4" t="n"/>
      <x:c r="T3" s="4" t="n"/>
      <x:c r="U3" s="4" t="n"/>
      <x:c r="V3" s="4" t="n"/>
      <x:c r="W3" s="4" t="n"/>
    </x:row>
    <x:row r="5" ht="45" customHeight="1">
      <x:c r="A5" s="8" t="inlineStr">
        <x:is>
          <x:t xml:space="preserve">Record_ID</x:t>
        </x:is>
      </x:c>
      <x:c r="B5" s="8" t="inlineStr">
        <x:is>
          <x:t xml:space="preserve">Quarter</x:t>
        </x:is>
      </x:c>
      <x:c r="C5" s="8" t="inlineStr">
        <x:is>
          <x:t xml:space="preserve">Market</x:t>
        </x:is>
      </x:c>
      <x:c r="D5" s="8" t="inlineStr">
        <x:is>
          <x:t xml:space="preserve">Channel</x:t>
        </x:is>
      </x:c>
      <x:c r="E5" s="8" t="inlineStr">
        <x:is>
          <x:t xml:space="preserve">Customer_Account</x:t>
        </x:is>
      </x:c>
      <x:c r="F5" s="8" t="inlineStr">
        <x:is>
          <x:t xml:space="preserve">Customer_Tier</x:t>
        </x:is>
      </x:c>
      <x:c r="G5" s="8" t="inlineStr">
        <x:is>
          <x:t xml:space="preserve">Category</x:t>
        </x:is>
      </x:c>
      <x:c r="H5" s="8" t="inlineStr">
        <x:is>
          <x:t xml:space="preserve">Volume_Plan_kUnits</x:t>
        </x:is>
      </x:c>
      <x:c r="I5" s="8" t="inlineStr">
        <x:is>
          <x:t xml:space="preserve">Volume_Actual_kUnits</x:t>
        </x:is>
      </x:c>
      <x:c r="J5" s="8" t="inlineStr">
        <x:is>
          <x:t xml:space="preserve">Volume_Var_pct</x:t>
        </x:is>
      </x:c>
      <x:c r="K5" s="8" t="inlineStr">
        <x:is>
          <x:t xml:space="preserve">Value_Plan_kEUR</x:t>
        </x:is>
      </x:c>
      <x:c r="L5" s="8" t="inlineStr">
        <x:is>
          <x:t xml:space="preserve">Value_Actual_kEUR</x:t>
        </x:is>
      </x:c>
      <x:c r="M5" s="8" t="inlineStr">
        <x:is>
          <x:t xml:space="preserve">Value_Var_pct</x:t>
        </x:is>
      </x:c>
      <x:c r="N5" s="8" t="inlineStr">
        <x:is>
          <x:t xml:space="preserve">Weighted_Distribution_pct</x:t>
        </x:is>
      </x:c>
      <x:c r="O5" s="8" t="inlineStr">
        <x:is>
          <x:t xml:space="preserve">Distribution_Change_pp</x:t>
        </x:is>
      </x:c>
      <x:c r="P5" s="8" t="inlineStr">
        <x:is>
          <x:t xml:space="preserve">Promo_Activity</x:t>
        </x:is>
      </x:c>
      <x:c r="Q5" s="8" t="inlineStr">
        <x:is>
          <x:t xml:space="preserve">Competitive_Signal</x:t>
        </x:is>
      </x:c>
      <x:c r="R5" s="8" t="inlineStr">
        <x:is>
          <x:t xml:space="preserve">Open_Action</x:t>
        </x:is>
      </x:c>
      <x:c r="S5" s="8" t="inlineStr">
        <x:is>
          <x:t xml:space="preserve">Action_Owner</x:t>
        </x:is>
      </x:c>
      <x:c r="T5" s="8" t="inlineStr">
        <x:is>
          <x:t xml:space="preserve">Action_Due_Date</x:t>
        </x:is>
      </x:c>
      <x:c r="U5" s="8" t="inlineStr">
        <x:is>
          <x:t xml:space="preserve">Action_Status</x:t>
        </x:is>
      </x:c>
      <x:c r="V5" s="8" t="inlineStr">
        <x:is>
          <x:t xml:space="preserve">Decision_Topic</x:t>
        </x:is>
      </x:c>
      <x:c r="W5" s="8" t="inlineStr">
        <x:is>
          <x:t xml:space="preserve">Data_Classification</x:t>
        </x:is>
      </x:c>
    </x:row>
    <x:row r="6">
      <x:c r="A6" s="9" t="inlineStr">
        <x:is>
          <x:t xml:space="preserve">TBR-0001</x:t>
        </x:is>
      </x:c>
      <x:c r="B6" s="9" t="inlineStr">
        <x:is>
          <x:t xml:space="preserve">Q3 2026</x:t>
        </x:is>
      </x:c>
      <x:c r="C6" s="9" t="inlineStr">
        <x:is>
          <x:t xml:space="preserve">Poland</x:t>
        </x:is>
      </x:c>
      <x:c r="D6" s="9" t="inlineStr">
        <x:is>
          <x:t xml:space="preserve">Key Accounts</x:t>
        </x:is>
      </x:c>
      <x:c r="E6" s="9" t="inlineStr">
        <x:is>
          <x:t xml:space="preserve">Amberline Retail Group (PL)</x:t>
        </x:is>
      </x:c>
      <x:c r="F6" s="9" t="inlineStr">
        <x:is>
          <x:t xml:space="preserve">Strategic</x:t>
        </x:is>
      </x:c>
      <x:c r="G6" s="9" t="inlineStr">
        <x:is>
          <x:t xml:space="preserve">Combustibles</x:t>
        </x:is>
      </x:c>
      <x:c r="H6" s="10" t="n">
        <x:v>825.5</x:v>
      </x:c>
      <x:c r="I6" s="10" t="n">
        <x:v>766.9</x:v>
      </x:c>
      <x:c r="J6" s="11" t="n">
        <x:v>-0.07099999999999999</x:v>
      </x:c>
      <x:c r="K6" s="10" t="n">
        <x:v>336.3</x:v>
      </x:c>
      <x:c r="L6" s="10" t="n">
        <x:v>314.8</x:v>
      </x:c>
      <x:c r="M6" s="11" t="n">
        <x:v>-0.0639</x:v>
      </x:c>
      <x:c r="N6" s="10" t="n">
        <x:v>56.2</x:v>
      </x:c>
      <x:c r="O6" s="16" t="n">
        <x:v>-0.5</x:v>
      </x:c>
      <x:c r="P6" s="9" t="inlineStr">
        <x:is>
          <x:t xml:space="preserve">None</x:t>
        </x:is>
      </x:c>
      <x:c r="Q6" s="9" t="inlineStr">
        <x:is>
          <x:t xml:space="preserve">None</x:t>
        </x:is>
      </x:c>
      <x:c r="R6" s="9" t="inlineStr">
        <x:is>
          <x:t xml:space="preserve">Confirm Q4 visit plan and in-store execution checks</x:t>
        </x:is>
      </x:c>
      <x:c r="S6" s="9" t="inlineStr">
        <x:is>
          <x:t xml:space="preserve">Key Account Manager</x:t>
        </x:is>
      </x:c>
      <x:c r="T6" s="17" t="n">
        <x:v>46358</x:v>
      </x:c>
      <x:c r="U6" s="9" t="inlineStr">
        <x:is>
          <x:t xml:space="preserve">Closed</x:t>
        </x:is>
      </x:c>
      <x:c r="V6" s="9" t="inlineStr">
        <x:is>
          <x:t xml:space="preserve">None</x:t>
        </x:is>
      </x:c>
      <x:c r="W6" s="9" t="inlineStr">
        <x:is>
          <x:t xml:space="preserve">Synthetic - CIE training only</x:t>
        </x:is>
      </x:c>
    </x:row>
    <x:row r="7">
      <x:c r="A7" s="9" t="inlineStr">
        <x:is>
          <x:t xml:space="preserve">TBR-0002</x:t>
        </x:is>
      </x:c>
      <x:c r="B7" s="9" t="inlineStr">
        <x:is>
          <x:t xml:space="preserve">Q3 2026</x:t>
        </x:is>
      </x:c>
      <x:c r="C7" s="9" t="inlineStr">
        <x:is>
          <x:t xml:space="preserve">Poland</x:t>
        </x:is>
      </x:c>
      <x:c r="D7" s="9" t="inlineStr">
        <x:is>
          <x:t xml:space="preserve">Key Accounts</x:t>
        </x:is>
      </x:c>
      <x:c r="E7" s="9" t="inlineStr">
        <x:is>
          <x:t xml:space="preserve">Northbridge Retail Group (PL)</x:t>
        </x:is>
      </x:c>
      <x:c r="F7" s="9" t="inlineStr">
        <x:is>
          <x:t xml:space="preserve">Developing</x:t>
        </x:is>
      </x:c>
      <x:c r="G7" s="9" t="inlineStr">
        <x:is>
          <x:t xml:space="preserve">Vapour</x:t>
        </x:is>
      </x:c>
      <x:c r="H7" s="10" t="n">
        <x:v>695.9</x:v>
      </x:c>
      <x:c r="I7" s="10" t="n">
        <x:v>699.8</x:v>
      </x:c>
      <x:c r="J7" s="11" t="n">
        <x:v>0.0056</x:v>
      </x:c>
      <x:c r="K7" s="10" t="n">
        <x:v>398.1</x:v>
      </x:c>
      <x:c r="L7" s="10" t="n">
        <x:v>391.6</x:v>
      </x:c>
      <x:c r="M7" s="11" t="n">
        <x:v>-0.0163</x:v>
      </x:c>
      <x:c r="N7" s="10" t="n">
        <x:v>84.40000000000001</x:v>
      </x:c>
      <x:c r="O7" s="16" t="n">
        <x:v>0.7</x:v>
      </x:c>
      <x:c r="P7" s="9" t="inlineStr">
        <x:is>
          <x:t xml:space="preserve">Standard</x:t>
        </x:is>
      </x:c>
      <x:c r="Q7" s="9" t="inlineStr">
        <x:is>
          <x:t xml:space="preserve">Display space lost</x:t>
        </x:is>
      </x:c>
      <x:c r="R7" s="9" t="inlineStr">
        <x:is>
          <x:t xml:space="preserve">Agree display recovery plan with account (no terms committed)</x:t>
        </x:is>
      </x:c>
      <x:c r="S7" s="9" t="inlineStr">
        <x:is>
          <x:t xml:space="preserve">Key Account Manager</x:t>
        </x:is>
      </x:c>
      <x:c r="T7" s="17" t="n">
        <x:v>46299</x:v>
      </x:c>
      <x:c r="U7" s="9" t="inlineStr">
        <x:is>
          <x:t xml:space="preserve">Overdue</x:t>
        </x:is>
      </x:c>
      <x:c r="V7" s="9" t="inlineStr">
        <x:is>
          <x:t xml:space="preserve">Customer terms</x:t>
        </x:is>
      </x:c>
      <x:c r="W7" s="9" t="inlineStr">
        <x:is>
          <x:t xml:space="preserve">Synthetic - CIE training only</x:t>
        </x:is>
      </x:c>
    </x:row>
    <x:row r="8">
      <x:c r="A8" s="9" t="inlineStr">
        <x:is>
          <x:t xml:space="preserve">TBR-0003</x:t>
        </x:is>
      </x:c>
      <x:c r="B8" s="9" t="inlineStr">
        <x:is>
          <x:t xml:space="preserve">Q3 2026</x:t>
        </x:is>
      </x:c>
      <x:c r="C8" s="9" t="inlineStr">
        <x:is>
          <x:t xml:space="preserve">Poland</x:t>
        </x:is>
      </x:c>
      <x:c r="D8" s="9" t="inlineStr">
        <x:is>
          <x:t xml:space="preserve">Key Accounts</x:t>
        </x:is>
      </x:c>
      <x:c r="E8" s="9" t="inlineStr">
        <x:is>
          <x:t xml:space="preserve">Amberline Retail Group (PL)</x:t>
        </x:is>
      </x:c>
      <x:c r="F8" s="9" t="inlineStr">
        <x:is>
          <x:t xml:space="preserve">Strategic</x:t>
        </x:is>
      </x:c>
      <x:c r="G8" s="9" t="inlineStr">
        <x:is>
          <x:t xml:space="preserve">Heated Products</x:t>
        </x:is>
      </x:c>
      <x:c r="H8" s="10" t="n">
        <x:v>402.5</x:v>
      </x:c>
      <x:c r="I8" s="10" t="n">
        <x:v>420.3</x:v>
      </x:c>
      <x:c r="J8" s="11" t="n">
        <x:v>0.0442</x:v>
      </x:c>
      <x:c r="K8" s="10" t="n">
        <x:v>245.3</x:v>
      </x:c>
      <x:c r="L8" s="10" t="n">
        <x:v>259.3</x:v>
      </x:c>
      <x:c r="M8" s="11" t="n">
        <x:v>0.0571</x:v>
      </x:c>
      <x:c r="N8" s="10" t="n">
        <x:v>62.1</x:v>
      </x:c>
      <x:c r="O8" s="16" t="n">
        <x:v>-0.1</x:v>
      </x:c>
      <x:c r="P8" s="9" t="inlineStr">
        <x:is>
          <x:t xml:space="preserve">None</x:t>
        </x:is>
      </x:c>
      <x:c r="Q8" s="9" t="inlineStr">
        <x:is>
          <x:t xml:space="preserve">Competitor promotion</x:t>
        </x:is>
      </x:c>
      <x:c r="R8" s="9" t="inlineStr">
        <x:is>
          <x:t xml:space="preserve">Validate sell-out data feed with distributor</x:t>
        </x:is>
      </x:c>
      <x:c r="S8" s="9" t="inlineStr">
        <x:is>
          <x:t xml:space="preserve">Key Account Manager</x:t>
        </x:is>
      </x:c>
      <x:c r="T8" s="17" t="n">
        <x:v>46338</x:v>
      </x:c>
      <x:c r="U8" s="9" t="inlineStr">
        <x:is>
          <x:t xml:space="preserve">On track</x:t>
        </x:is>
      </x:c>
      <x:c r="V8" s="9" t="inlineStr">
        <x:is>
          <x:t xml:space="preserve">Data quality</x:t>
        </x:is>
      </x:c>
      <x:c r="W8" s="9" t="inlineStr">
        <x:is>
          <x:t xml:space="preserve">Synthetic - CIE training only</x:t>
        </x:is>
      </x:c>
    </x:row>
    <x:row r="9">
      <x:c r="A9" s="9" t="inlineStr">
        <x:is>
          <x:t xml:space="preserve">TBR-0004</x:t>
        </x:is>
      </x:c>
      <x:c r="B9" s="9" t="inlineStr">
        <x:is>
          <x:t xml:space="preserve">Q3 2026</x:t>
        </x:is>
      </x:c>
      <x:c r="C9" s="9" t="inlineStr">
        <x:is>
          <x:t xml:space="preserve">Poland</x:t>
        </x:is>
      </x:c>
      <x:c r="D9" s="9" t="inlineStr">
        <x:is>
          <x:t xml:space="preserve">Key Accounts</x:t>
        </x:is>
      </x:c>
      <x:c r="E9" s="9" t="inlineStr">
        <x:is>
          <x:t xml:space="preserve">Northbridge Retail Group (PL)</x:t>
        </x:is>
      </x:c>
      <x:c r="F9" s="9" t="inlineStr">
        <x:is>
          <x:t xml:space="preserve">Strategic</x:t>
        </x:is>
      </x:c>
      <x:c r="G9" s="9" t="inlineStr">
        <x:is>
          <x:t xml:space="preserve">Modern Oral</x:t>
        </x:is>
      </x:c>
      <x:c r="H9" s="10" t="n">
        <x:v>811.5</x:v>
      </x:c>
      <x:c r="I9" s="10" t="n">
        <x:v>900.3</x:v>
      </x:c>
      <x:c r="J9" s="11" t="n">
        <x:v>0.1094</x:v>
      </x:c>
      <x:c r="K9" s="10" t="n">
        <x:v>411.7</x:v>
      </x:c>
      <x:c r="L9" s="10" t="n">
        <x:v>455.6</x:v>
      </x:c>
      <x:c r="M9" s="11" t="n">
        <x:v>0.1066</x:v>
      </x:c>
      <x:c r="N9" s="10" t="n">
        <x:v>58.4</x:v>
      </x:c>
      <x:c r="O9" s="16" t="n">
        <x:v>-0.5</x:v>
      </x:c>
      <x:c r="P9" s="9" t="inlineStr">
        <x:is>
          <x:t xml:space="preserve">None</x:t>
        </x:is>
      </x:c>
      <x:c r="Q9" s="9" t="inlineStr">
        <x:is>
          <x:t xml:space="preserve">None</x:t>
        </x:is>
      </x:c>
      <x:c r="R9" s="9" t="inlineStr">
        <x:is>
          <x:t xml:space="preserve">Update account plan for Q4</x:t>
        </x:is>
      </x:c>
      <x:c r="S9" s="9" t="inlineStr">
        <x:is>
          <x:t xml:space="preserve">Key Account Manager</x:t>
        </x:is>
      </x:c>
      <x:c r="T9" s="17" t="n">
        <x:v>46341</x:v>
      </x:c>
      <x:c r="U9" s="9" t="inlineStr">
        <x:is>
          <x:t xml:space="preserve">Not started</x:t>
        </x:is>
      </x:c>
      <x:c r="V9" s="9" t="inlineStr">
        <x:is>
          <x:t xml:space="preserve">None</x:t>
        </x:is>
      </x:c>
      <x:c r="W9" s="9" t="inlineStr">
        <x:is>
          <x:t xml:space="preserve">Synthetic - CIE training only</x:t>
        </x:is>
      </x:c>
    </x:row>
    <x:row r="10">
      <x:c r="A10" s="9" t="inlineStr">
        <x:is>
          <x:t xml:space="preserve">TBR-0005</x:t>
        </x:is>
      </x:c>
      <x:c r="B10" s="9" t="inlineStr">
        <x:is>
          <x:t xml:space="preserve">Q3 2026</x:t>
        </x:is>
      </x:c>
      <x:c r="C10" s="9" t="inlineStr">
        <x:is>
          <x:t xml:space="preserve">Poland</x:t>
        </x:is>
      </x:c>
      <x:c r="D10" s="9" t="inlineStr">
        <x:is>
          <x:t xml:space="preserve">Key Accounts</x:t>
        </x:is>
      </x:c>
      <x:c r="E10" s="9" t="inlineStr">
        <x:is>
          <x:t xml:space="preserve">Amberline Retail Group (PL)</x:t>
        </x:is>
      </x:c>
      <x:c r="F10" s="9" t="inlineStr">
        <x:is>
          <x:t xml:space="preserve">Strategic</x:t>
        </x:is>
      </x:c>
      <x:c r="G10" s="9" t="inlineStr">
        <x:is>
          <x:t xml:space="preserve">Vapour</x:t>
        </x:is>
      </x:c>
      <x:c r="H10" s="10" t="n">
        <x:v>606.8</x:v>
      </x:c>
      <x:c r="I10" s="10" t="n">
        <x:v>621.2</x:v>
      </x:c>
      <x:c r="J10" s="11" t="n">
        <x:v>0.0237</x:v>
      </x:c>
      <x:c r="K10" s="10" t="n">
        <x:v>332.7</x:v>
      </x:c>
      <x:c r="L10" s="10" t="n">
        <x:v>341</x:v>
      </x:c>
      <x:c r="M10" s="11" t="n">
        <x:v>0.0249</x:v>
      </x:c>
      <x:c r="N10" s="10" t="n">
        <x:v>63.2</x:v>
      </x:c>
      <x:c r="O10" s="16" t="n">
        <x:v>1</x:v>
      </x:c>
      <x:c r="P10" s="9" t="inlineStr">
        <x:is>
          <x:t xml:space="preserve">None</x:t>
        </x:is>
      </x:c>
      <x:c r="Q10" s="9" t="inlineStr">
        <x:is>
          <x:t xml:space="preserve">None</x:t>
        </x:is>
      </x:c>
      <x:c r="R10" s="9" t="inlineStr">
        <x:is>
          <x:t xml:space="preserve">None</x:t>
        </x:is>
      </x:c>
      <x:c r="S10" s="9" t="n"/>
      <x:c r="T10" s="17" t="n"/>
      <x:c r="U10" s="9" t="inlineStr">
        <x:is>
          <x:t xml:space="preserve">No action</x:t>
        </x:is>
      </x:c>
      <x:c r="V10" s="9" t="inlineStr">
        <x:is>
          <x:t xml:space="preserve">None</x:t>
        </x:is>
      </x:c>
      <x:c r="W10" s="9" t="inlineStr">
        <x:is>
          <x:t xml:space="preserve">Synthetic - CIE training only</x:t>
        </x:is>
      </x:c>
    </x:row>
    <x:row r="11">
      <x:c r="A11" s="9" t="inlineStr">
        <x:is>
          <x:t xml:space="preserve">TBR-0006</x:t>
        </x:is>
      </x:c>
      <x:c r="B11" s="9" t="inlineStr">
        <x:is>
          <x:t xml:space="preserve">Q3 2026</x:t>
        </x:is>
      </x:c>
      <x:c r="C11" s="9" t="inlineStr">
        <x:is>
          <x:t xml:space="preserve">Poland</x:t>
        </x:is>
      </x:c>
      <x:c r="D11" s="9" t="inlineStr">
        <x:is>
          <x:t xml:space="preserve">Key Accounts</x:t>
        </x:is>
      </x:c>
      <x:c r="E11" s="9" t="inlineStr">
        <x:is>
          <x:t xml:space="preserve">Northbridge Retail Group (PL)</x:t>
        </x:is>
      </x:c>
      <x:c r="F11" s="9" t="inlineStr">
        <x:is>
          <x:t xml:space="preserve">Strategic</x:t>
        </x:is>
      </x:c>
      <x:c r="G11" s="9" t="inlineStr">
        <x:is>
          <x:t xml:space="preserve">Vapour</x:t>
        </x:is>
      </x:c>
      <x:c r="H11" s="10" t="n">
        <x:v>523.4</x:v>
      </x:c>
      <x:c r="I11" s="10" t="n">
        <x:v>515.1</x:v>
      </x:c>
      <x:c r="J11" s="11" t="n">
        <x:v>-0.0159</x:v>
      </x:c>
      <x:c r="K11" s="10" t="n">
        <x:v>274.4</x:v>
      </x:c>
      <x:c r="L11" s="10" t="n">
        <x:v>263</x:v>
      </x:c>
      <x:c r="M11" s="11" t="n">
        <x:v>-0.0415</x:v>
      </x:c>
      <x:c r="N11" s="10" t="n">
        <x:v>62.2</x:v>
      </x:c>
      <x:c r="O11" s="16" t="n">
        <x:v>0.2</x:v>
      </x:c>
      <x:c r="P11" s="9" t="inlineStr">
        <x:is>
          <x:t xml:space="preserve">Standard</x:t>
        </x:is>
      </x:c>
      <x:c r="Q11" s="9" t="inlineStr">
        <x:is>
          <x:t xml:space="preserve">None</x:t>
        </x:is>
      </x:c>
      <x:c r="R11" s="9" t="inlineStr">
        <x:is>
          <x:t xml:space="preserve">None</x:t>
        </x:is>
      </x:c>
      <x:c r="S11" s="9" t="n"/>
      <x:c r="T11" s="17" t="n"/>
      <x:c r="U11" s="9" t="inlineStr">
        <x:is>
          <x:t xml:space="preserve">No action</x:t>
        </x:is>
      </x:c>
      <x:c r="V11" s="9" t="inlineStr">
        <x:is>
          <x:t xml:space="preserve">None</x:t>
        </x:is>
      </x:c>
      <x:c r="W11" s="9" t="inlineStr">
        <x:is>
          <x:t xml:space="preserve">Synthetic - CIE training only</x:t>
        </x:is>
      </x:c>
    </x:row>
    <x:row r="12">
      <x:c r="A12" s="9" t="inlineStr">
        <x:is>
          <x:t xml:space="preserve">TBR-0007</x:t>
        </x:is>
      </x:c>
      <x:c r="B12" s="9" t="inlineStr">
        <x:is>
          <x:t xml:space="preserve">Q3 2026</x:t>
        </x:is>
      </x:c>
      <x:c r="C12" s="9" t="inlineStr">
        <x:is>
          <x:t xml:space="preserve">Poland</x:t>
        </x:is>
      </x:c>
      <x:c r="D12" s="9" t="inlineStr">
        <x:is>
          <x:t xml:space="preserve">Key Accounts</x:t>
        </x:is>
      </x:c>
      <x:c r="E12" s="9" t="inlineStr">
        <x:is>
          <x:t xml:space="preserve">Amberline Retail Group (PL)</x:t>
        </x:is>
      </x:c>
      <x:c r="F12" s="9" t="inlineStr">
        <x:is>
          <x:t xml:space="preserve">Strategic</x:t>
        </x:is>
      </x:c>
      <x:c r="G12" s="9" t="inlineStr">
        <x:is>
          <x:t xml:space="preserve">Heated Products</x:t>
        </x:is>
      </x:c>
      <x:c r="H12" s="10" t="n">
        <x:v>474.3</x:v>
      </x:c>
      <x:c r="I12" s="10" t="n">
        <x:v>473.5</x:v>
      </x:c>
      <x:c r="J12" s="11" t="n">
        <x:v>-0.0017</x:v>
      </x:c>
      <x:c r="K12" s="10" t="n">
        <x:v>297.4</x:v>
      </x:c>
      <x:c r="L12" s="10" t="n">
        <x:v>297.4</x:v>
      </x:c>
      <x:c r="M12" s="11" t="n">
        <x:v>0</x:v>
      </x:c>
      <x:c r="N12" s="10" t="n">
        <x:v>69.2</x:v>
      </x:c>
      <x:c r="O12" s="16" t="n">
        <x:v>-0</x:v>
      </x:c>
      <x:c r="P12" s="9" t="inlineStr">
        <x:is>
          <x:t xml:space="preserve">None</x:t>
        </x:is>
      </x:c>
      <x:c r="Q12" s="9" t="inlineStr">
        <x:is>
          <x:t xml:space="preserve">Competitor new launch</x:t>
        </x:is>
      </x:c>
      <x:c r="R12" s="9" t="inlineStr">
        <x:is>
          <x:t xml:space="preserve">Assess shelf and range impact of competitor launch</x:t>
        </x:is>
      </x:c>
      <x:c r="S12" s="9" t="inlineStr">
        <x:is>
          <x:t xml:space="preserve">Key Account Manager</x:t>
        </x:is>
      </x:c>
      <x:c r="T12" s="17" t="n">
        <x:v>46301</x:v>
      </x:c>
      <x:c r="U12" s="9" t="inlineStr">
        <x:is>
          <x:t xml:space="preserve">Overdue</x:t>
        </x:is>
      </x:c>
      <x:c r="V12" s="9" t="inlineStr">
        <x:is>
          <x:t xml:space="preserve">Portfolio</x:t>
        </x:is>
      </x:c>
      <x:c r="W12" s="9" t="inlineStr">
        <x:is>
          <x:t xml:space="preserve">Synthetic - CIE training only</x:t>
        </x:is>
      </x:c>
    </x:row>
    <x:row r="13">
      <x:c r="A13" s="9" t="inlineStr">
        <x:is>
          <x:t xml:space="preserve">TBR-0008</x:t>
        </x:is>
      </x:c>
      <x:c r="B13" s="9" t="inlineStr">
        <x:is>
          <x:t xml:space="preserve">Q3 2026</x:t>
        </x:is>
      </x:c>
      <x:c r="C13" s="9" t="inlineStr">
        <x:is>
          <x:t xml:space="preserve">Poland</x:t>
        </x:is>
      </x:c>
      <x:c r="D13" s="9" t="inlineStr">
        <x:is>
          <x:t xml:space="preserve">Traditional Trade</x:t>
        </x:is>
      </x:c>
      <x:c r="E13" s="9" t="inlineStr">
        <x:is>
          <x:t xml:space="preserve">Kestrel Independents Network (PL)</x:t>
        </x:is>
      </x:c>
      <x:c r="F13" s="9" t="inlineStr">
        <x:is>
          <x:t xml:space="preserve">Developing</x:t>
        </x:is>
      </x:c>
      <x:c r="G13" s="9" t="inlineStr">
        <x:is>
          <x:t xml:space="preserve">Combustibles</x:t>
        </x:is>
      </x:c>
      <x:c r="H13" s="10" t="n">
        <x:v>403</x:v>
      </x:c>
      <x:c r="I13" s="10" t="n">
        <x:v>387.6</x:v>
      </x:c>
      <x:c r="J13" s="11" t="n">
        <x:v>-0.0382</x:v>
      </x:c>
      <x:c r="K13" s="10" t="n">
        <x:v>176</x:v>
      </x:c>
      <x:c r="L13" s="10" t="n">
        <x:v>171.7</x:v>
      </x:c>
      <x:c r="M13" s="11" t="n">
        <x:v>-0.0244</x:v>
      </x:c>
      <x:c r="N13" s="10" t="n">
        <x:v>55.4</x:v>
      </x:c>
      <x:c r="O13" s="16" t="n">
        <x:v>-0.9</x:v>
      </x:c>
      <x:c r="P13" s="9" t="inlineStr">
        <x:is>
          <x:t xml:space="preserve">Standard</x:t>
        </x:is>
      </x:c>
      <x:c r="Q13" s="9" t="inlineStr">
        <x:is>
          <x:t xml:space="preserve">Competitor promotion</x:t>
        </x:is>
      </x:c>
      <x:c r="R13" s="9" t="inlineStr">
        <x:is>
          <x:t xml:space="preserve">Validate sell-out data feed with distributor</x:t>
        </x:is>
      </x:c>
      <x:c r="S13" s="9" t="inlineStr">
        <x:is>
          <x:t xml:space="preserve">Area Sales Manager</x:t>
        </x:is>
      </x:c>
      <x:c r="T13" s="17" t="n">
        <x:v>46320</x:v>
      </x:c>
      <x:c r="U13" s="9" t="inlineStr">
        <x:is>
          <x:t xml:space="preserve">Not started</x:t>
        </x:is>
      </x:c>
      <x:c r="V13" s="9" t="inlineStr">
        <x:is>
          <x:t xml:space="preserve">Data quality</x:t>
        </x:is>
      </x:c>
      <x:c r="W13" s="9" t="inlineStr">
        <x:is>
          <x:t xml:space="preserve">Synthetic - CIE training only</x:t>
        </x:is>
      </x:c>
    </x:row>
    <x:row r="14">
      <x:c r="A14" s="9" t="inlineStr">
        <x:is>
          <x:t xml:space="preserve">TBR-0009</x:t>
        </x:is>
      </x:c>
      <x:c r="B14" s="9" t="inlineStr">
        <x:is>
          <x:t xml:space="preserve">Q3 2026</x:t>
        </x:is>
      </x:c>
      <x:c r="C14" s="9" t="inlineStr">
        <x:is>
          <x:t xml:space="preserve">Poland</x:t>
        </x:is>
      </x:c>
      <x:c r="D14" s="9" t="inlineStr">
        <x:is>
          <x:t xml:space="preserve">Traditional Trade</x:t>
        </x:is>
      </x:c>
      <x:c r="E14" s="9" t="inlineStr">
        <x:is>
          <x:t xml:space="preserve">Silverbay Independents Network (PL)</x:t>
        </x:is>
      </x:c>
      <x:c r="F14" s="9" t="inlineStr">
        <x:is>
          <x:t xml:space="preserve">Developing</x:t>
        </x:is>
      </x:c>
      <x:c r="G14" s="9" t="inlineStr">
        <x:is>
          <x:t xml:space="preserve">Vapour</x:t>
        </x:is>
      </x:c>
      <x:c r="H14" s="10" t="n">
        <x:v>261.8</x:v>
      </x:c>
      <x:c r="I14" s="10" t="n">
        <x:v>259.4</x:v>
      </x:c>
      <x:c r="J14" s="11" t="n">
        <x:v>-0.0092</x:v>
      </x:c>
      <x:c r="K14" s="10" t="n">
        <x:v>139.5</x:v>
      </x:c>
      <x:c r="L14" s="10" t="n">
        <x:v>139.8</x:v>
      </x:c>
      <x:c r="M14" s="11" t="n">
        <x:v>0.0022</x:v>
      </x:c>
      <x:c r="N14" s="10" t="n">
        <x:v>65.3</x:v>
      </x:c>
      <x:c r="O14" s="16" t="n">
        <x:v>2.1</x:v>
      </x:c>
      <x:c r="P14" s="9" t="inlineStr">
        <x:is>
          <x:t xml:space="preserve">None</x:t>
        </x:is>
      </x:c>
      <x:c r="Q14" s="9" t="inlineStr">
        <x:is>
          <x:t xml:space="preserve">Display space lost</x:t>
        </x:is>
      </x:c>
      <x:c r="R14" s="9" t="inlineStr">
        <x:is>
          <x:t xml:space="preserve">Agree display recovery plan with account (no terms committed)</x:t>
        </x:is>
      </x:c>
      <x:c r="S14" s="9" t="inlineStr">
        <x:is>
          <x:t xml:space="preserve">Area Sales Manager</x:t>
        </x:is>
      </x:c>
      <x:c r="T14" s="17" t="n">
        <x:v>46281</x:v>
      </x:c>
      <x:c r="U14" s="9" t="inlineStr">
        <x:is>
          <x:t xml:space="preserve">Overdue</x:t>
        </x:is>
      </x:c>
      <x:c r="V14" s="9" t="inlineStr">
        <x:is>
          <x:t xml:space="preserve">Customer terms</x:t>
        </x:is>
      </x:c>
      <x:c r="W14" s="9" t="inlineStr">
        <x:is>
          <x:t xml:space="preserve">Synthetic - CIE training only</x:t>
        </x:is>
      </x:c>
    </x:row>
    <x:row r="15">
      <x:c r="A15" s="9" t="inlineStr">
        <x:is>
          <x:t xml:space="preserve">TBR-0010</x:t>
        </x:is>
      </x:c>
      <x:c r="B15" s="9" t="inlineStr">
        <x:is>
          <x:t xml:space="preserve">Q3 2026</x:t>
        </x:is>
      </x:c>
      <x:c r="C15" s="9" t="inlineStr">
        <x:is>
          <x:t xml:space="preserve">Poland</x:t>
        </x:is>
      </x:c>
      <x:c r="D15" s="9" t="inlineStr">
        <x:is>
          <x:t xml:space="preserve">Traditional Trade</x:t>
        </x:is>
      </x:c>
      <x:c r="E15" s="9" t="inlineStr">
        <x:is>
          <x:t xml:space="preserve">Kestrel Independents Network (PL)</x:t>
        </x:is>
      </x:c>
      <x:c r="F15" s="9" t="inlineStr">
        <x:is>
          <x:t xml:space="preserve">Strategic</x:t>
        </x:is>
      </x:c>
      <x:c r="G15" s="9" t="inlineStr">
        <x:is>
          <x:t xml:space="preserve">Heated Products</x:t>
        </x:is>
      </x:c>
      <x:c r="H15" s="10" t="n">
        <x:v>283.3</x:v>
      </x:c>
      <x:c r="I15" s="10" t="n">
        <x:v>291.1</x:v>
      </x:c>
      <x:c r="J15" s="11" t="n">
        <x:v>0.0275</x:v>
      </x:c>
      <x:c r="K15" s="10" t="n">
        <x:v>170</x:v>
      </x:c>
      <x:c r="L15" s="10" t="n">
        <x:v>175</x:v>
      </x:c>
      <x:c r="M15" s="11" t="n">
        <x:v>0.0294</x:v>
      </x:c>
      <x:c r="N15" s="10" t="n">
        <x:v>81.3</x:v>
      </x:c>
      <x:c r="O15" s="16" t="n">
        <x:v>1</x:v>
      </x:c>
      <x:c r="P15" s="9" t="inlineStr">
        <x:is>
          <x:t xml:space="preserve">None</x:t>
        </x:is>
      </x:c>
      <x:c r="Q15" s="9" t="inlineStr">
        <x:is>
          <x:t xml:space="preserve">Display space lost</x:t>
        </x:is>
      </x:c>
      <x:c r="R15" s="9" t="inlineStr">
        <x:is>
          <x:t xml:space="preserve">Agree display recovery plan with account (no terms committed)</x:t>
        </x:is>
      </x:c>
      <x:c r="S15" s="9" t="inlineStr">
        <x:is>
          <x:t xml:space="preserve">Area Sales Manager</x:t>
        </x:is>
      </x:c>
      <x:c r="T15" s="17" t="n">
        <x:v>46355</x:v>
      </x:c>
      <x:c r="U15" s="9" t="inlineStr">
        <x:is>
          <x:t xml:space="preserve">Not started</x:t>
        </x:is>
      </x:c>
      <x:c r="V15" s="9" t="inlineStr">
        <x:is>
          <x:t xml:space="preserve">Customer terms</x:t>
        </x:is>
      </x:c>
      <x:c r="W15" s="9" t="inlineStr">
        <x:is>
          <x:t xml:space="preserve">Synthetic - CIE training only</x:t>
        </x:is>
      </x:c>
    </x:row>
    <x:row r="16">
      <x:c r="A16" s="9" t="inlineStr">
        <x:is>
          <x:t xml:space="preserve">TBR-0011</x:t>
        </x:is>
      </x:c>
      <x:c r="B16" s="9" t="inlineStr">
        <x:is>
          <x:t xml:space="preserve">Q3 2026</x:t>
        </x:is>
      </x:c>
      <x:c r="C16" s="9" t="inlineStr">
        <x:is>
          <x:t xml:space="preserve">Poland</x:t>
        </x:is>
      </x:c>
      <x:c r="D16" s="9" t="inlineStr">
        <x:is>
          <x:t xml:space="preserve">Traditional Trade</x:t>
        </x:is>
      </x:c>
      <x:c r="E16" s="9" t="inlineStr">
        <x:is>
          <x:t xml:space="preserve">Silverbay Independents Network (PL)</x:t>
        </x:is>
      </x:c>
      <x:c r="F16" s="9" t="inlineStr">
        <x:is>
          <x:t xml:space="preserve">Strategic</x:t>
        </x:is>
      </x:c>
      <x:c r="G16" s="9" t="inlineStr">
        <x:is>
          <x:t xml:space="preserve">Modern Oral</x:t>
        </x:is>
      </x:c>
      <x:c r="H16" s="10" t="n">
        <x:v>399.1</x:v>
      </x:c>
      <x:c r="I16" s="10" t="n">
        <x:v>443.2</x:v>
      </x:c>
      <x:c r="J16" s="11" t="n">
        <x:v>0.1105</x:v>
      </x:c>
      <x:c r="K16" s="10" t="n">
        <x:v>194.6</x:v>
      </x:c>
      <x:c r="L16" s="10" t="n">
        <x:v>219.6</x:v>
      </x:c>
      <x:c r="M16" s="11" t="n">
        <x:v>0.1285</x:v>
      </x:c>
      <x:c r="N16" s="10" t="n">
        <x:v>79.59999999999999</x:v>
      </x:c>
      <x:c r="O16" s="16" t="n">
        <x:v>-1.1</x:v>
      </x:c>
      <x:c r="P16" s="9" t="inlineStr">
        <x:is>
          <x:t xml:space="preserve">None</x:t>
        </x:is>
      </x:c>
      <x:c r="Q16" s="9" t="inlineStr">
        <x:is>
          <x:t xml:space="preserve">Competitor promotion</x:t>
        </x:is>
      </x:c>
      <x:c r="R16" s="9" t="inlineStr">
        <x:is>
          <x:t xml:space="preserve">Close distribution gap in priority outlets</x:t>
        </x:is>
      </x:c>
      <x:c r="S16" s="9" t="inlineStr">
        <x:is>
          <x:t xml:space="preserve">Area Sales Manager</x:t>
        </x:is>
      </x:c>
      <x:c r="T16" s="17" t="n">
        <x:v>46317</x:v>
      </x:c>
      <x:c r="U16" s="9" t="inlineStr">
        <x:is>
          <x:t xml:space="preserve">Closed</x:t>
        </x:is>
      </x:c>
      <x:c r="V16" s="9" t="inlineStr">
        <x:is>
          <x:t xml:space="preserve">None</x:t>
        </x:is>
      </x:c>
      <x:c r="W16" s="9" t="inlineStr">
        <x:is>
          <x:t xml:space="preserve">Synthetic - CIE training only</x:t>
        </x:is>
      </x:c>
    </x:row>
    <x:row r="17">
      <x:c r="A17" s="9" t="inlineStr">
        <x:is>
          <x:t xml:space="preserve">TBR-0012</x:t>
        </x:is>
      </x:c>
      <x:c r="B17" s="9" t="inlineStr">
        <x:is>
          <x:t xml:space="preserve">Q3 2026</x:t>
        </x:is>
      </x:c>
      <x:c r="C17" s="9" t="inlineStr">
        <x:is>
          <x:t xml:space="preserve">Poland</x:t>
        </x:is>
      </x:c>
      <x:c r="D17" s="9" t="inlineStr">
        <x:is>
          <x:t xml:space="preserve">Traditional Trade</x:t>
        </x:is>
      </x:c>
      <x:c r="E17" s="9" t="inlineStr">
        <x:is>
          <x:t xml:space="preserve">Kestrel Independents Network (PL)</x:t>
        </x:is>
      </x:c>
      <x:c r="F17" s="9" t="inlineStr">
        <x:is>
          <x:t xml:space="preserve">Developing</x:t>
        </x:is>
      </x:c>
      <x:c r="G17" s="9" t="inlineStr">
        <x:is>
          <x:t xml:space="preserve">Heated Products</x:t>
        </x:is>
      </x:c>
      <x:c r="H17" s="10" t="n">
        <x:v>318.2</x:v>
      </x:c>
      <x:c r="I17" s="10" t="n">
        <x:v>320</x:v>
      </x:c>
      <x:c r="J17" s="11" t="n">
        <x:v>0.0057</x:v>
      </x:c>
      <x:c r="K17" s="10" t="n">
        <x:v>197.4</x:v>
      </x:c>
      <x:c r="L17" s="10" t="n">
        <x:v>196.6</x:v>
      </x:c>
      <x:c r="M17" s="11" t="n">
        <x:v>-0.0041</x:v>
      </x:c>
      <x:c r="N17" s="10" t="n">
        <x:v>73.40000000000001</x:v>
      </x:c>
      <x:c r="O17" s="16" t="n">
        <x:v>0</x:v>
      </x:c>
      <x:c r="P17" s="9" t="inlineStr">
        <x:is>
          <x:t xml:space="preserve">Standard</x:t>
        </x:is>
      </x:c>
      <x:c r="Q17" s="9" t="inlineStr">
        <x:is>
          <x:t xml:space="preserve">None</x:t>
        </x:is>
      </x:c>
      <x:c r="R17" s="9" t="inlineStr">
        <x:is>
          <x:t xml:space="preserve">Validate sell-out data feed with distributor</x:t>
        </x:is>
      </x:c>
      <x:c r="S17" s="9" t="inlineStr">
        <x:is>
          <x:t xml:space="preserve">Area Sales Manager</x:t>
        </x:is>
      </x:c>
      <x:c r="T17" s="17" t="n">
        <x:v>46337</x:v>
      </x:c>
      <x:c r="U17" s="9" t="inlineStr">
        <x:is>
          <x:t xml:space="preserve">Closed</x:t>
        </x:is>
      </x:c>
      <x:c r="V17" s="9" t="inlineStr">
        <x:is>
          <x:t xml:space="preserve">Data quality</x:t>
        </x:is>
      </x:c>
      <x:c r="W17" s="9" t="inlineStr">
        <x:is>
          <x:t xml:space="preserve">Synthetic - CIE training only</x:t>
        </x:is>
      </x:c>
    </x:row>
    <x:row r="18">
      <x:c r="A18" s="9" t="inlineStr">
        <x:is>
          <x:t xml:space="preserve">TBR-0013</x:t>
        </x:is>
      </x:c>
      <x:c r="B18" s="9" t="inlineStr">
        <x:is>
          <x:t xml:space="preserve">Q3 2026</x:t>
        </x:is>
      </x:c>
      <x:c r="C18" s="9" t="inlineStr">
        <x:is>
          <x:t xml:space="preserve">Poland</x:t>
        </x:is>
      </x:c>
      <x:c r="D18" s="9" t="inlineStr">
        <x:is>
          <x:t xml:space="preserve">Traditional Trade</x:t>
        </x:is>
      </x:c>
      <x:c r="E18" s="9" t="inlineStr">
        <x:is>
          <x:t xml:space="preserve">Silverbay Independents Network (PL)</x:t>
        </x:is>
      </x:c>
      <x:c r="F18" s="9" t="inlineStr">
        <x:is>
          <x:t xml:space="preserve">Strategic</x:t>
        </x:is>
      </x:c>
      <x:c r="G18" s="9" t="inlineStr">
        <x:is>
          <x:t xml:space="preserve">Combustibles</x:t>
        </x:is>
      </x:c>
      <x:c r="H18" s="10" t="n">
        <x:v>466.6</x:v>
      </x:c>
      <x:c r="I18" s="10" t="n">
        <x:v>458.9</x:v>
      </x:c>
      <x:c r="J18" s="11" t="n">
        <x:v>-0.0165</x:v>
      </x:c>
      <x:c r="K18" s="10" t="n">
        <x:v>204.1</x:v>
      </x:c>
      <x:c r="L18" s="10" t="n">
        <x:v>195.6</x:v>
      </x:c>
      <x:c r="M18" s="11" t="n">
        <x:v>-0.0416</x:v>
      </x:c>
      <x:c r="N18" s="10" t="n">
        <x:v>56.7</x:v>
      </x:c>
      <x:c r="O18" s="16" t="n">
        <x:v>-0.2</x:v>
      </x:c>
      <x:c r="P18" s="9" t="inlineStr">
        <x:is>
          <x:t xml:space="preserve">Standard</x:t>
        </x:is>
      </x:c>
      <x:c r="Q18" s="9" t="inlineStr">
        <x:is>
          <x:t xml:space="preserve">None</x:t>
        </x:is>
      </x:c>
      <x:c r="R18" s="9" t="inlineStr">
        <x:is>
          <x:t xml:space="preserve">None</x:t>
        </x:is>
      </x:c>
      <x:c r="S18" s="9" t="n"/>
      <x:c r="T18" s="17" t="n"/>
      <x:c r="U18" s="9" t="inlineStr">
        <x:is>
          <x:t xml:space="preserve">No action</x:t>
        </x:is>
      </x:c>
      <x:c r="V18" s="9" t="inlineStr">
        <x:is>
          <x:t xml:space="preserve">None</x:t>
        </x:is>
      </x:c>
      <x:c r="W18" s="9" t="inlineStr">
        <x:is>
          <x:t xml:space="preserve">Synthetic - CIE training only</x:t>
        </x:is>
      </x:c>
    </x:row>
    <x:row r="19">
      <x:c r="A19" s="9" t="inlineStr">
        <x:is>
          <x:t xml:space="preserve">TBR-0014</x:t>
        </x:is>
      </x:c>
      <x:c r="B19" s="9" t="inlineStr">
        <x:is>
          <x:t xml:space="preserve">Q3 2026</x:t>
        </x:is>
      </x:c>
      <x:c r="C19" s="9" t="inlineStr">
        <x:is>
          <x:t xml:space="preserve">Poland</x:t>
        </x:is>
      </x:c>
      <x:c r="D19" s="9" t="inlineStr">
        <x:is>
          <x:t xml:space="preserve">Traditional Trade</x:t>
        </x:is>
      </x:c>
      <x:c r="E19" s="9" t="inlineStr">
        <x:is>
          <x:t xml:space="preserve">Kestrel Independents Network (PL)</x:t>
        </x:is>
      </x:c>
      <x:c r="F19" s="9" t="inlineStr">
        <x:is>
          <x:t xml:space="preserve">Strategic</x:t>
        </x:is>
      </x:c>
      <x:c r="G19" s="9" t="inlineStr">
        <x:is>
          <x:t xml:space="preserve">Modern Oral</x:t>
        </x:is>
      </x:c>
      <x:c r="H19" s="10" t="n">
        <x:v>433</x:v>
      </x:c>
      <x:c r="I19" s="10" t="n">
        <x:v>488.7</x:v>
      </x:c>
      <x:c r="J19" s="11" t="n">
        <x:v>0.1286</x:v>
      </x:c>
      <x:c r="K19" s="10" t="n">
        <x:v>220.5</x:v>
      </x:c>
      <x:c r="L19" s="10" t="n">
        <x:v>249.8</x:v>
      </x:c>
      <x:c r="M19" s="11" t="n">
        <x:v>0.1329</x:v>
      </x:c>
      <x:c r="N19" s="10" t="n">
        <x:v>70.90000000000001</x:v>
      </x:c>
      <x:c r="O19" s="16" t="n">
        <x:v>1.5</x:v>
      </x:c>
      <x:c r="P19" s="9" t="inlineStr">
        <x:is>
          <x:t xml:space="preserve">Standard</x:t>
        </x:is>
      </x:c>
      <x:c r="Q19" s="9" t="inlineStr">
        <x:is>
          <x:t xml:space="preserve">Competitor promotion</x:t>
        </x:is>
      </x:c>
      <x:c r="R19" s="9" t="inlineStr">
        <x:is>
          <x:t xml:space="preserve">Update account plan for Q4</x:t>
        </x:is>
      </x:c>
      <x:c r="S19" s="9" t="inlineStr">
        <x:is>
          <x:t xml:space="preserve">Area Sales Manager</x:t>
        </x:is>
      </x:c>
      <x:c r="T19" s="17" t="n">
        <x:v>46277</x:v>
      </x:c>
      <x:c r="U19" s="9" t="inlineStr">
        <x:is>
          <x:t xml:space="preserve">Closed</x:t>
        </x:is>
      </x:c>
      <x:c r="V19" s="9" t="inlineStr">
        <x:is>
          <x:t xml:space="preserve">None</x:t>
        </x:is>
      </x:c>
      <x:c r="W19" s="9" t="inlineStr">
        <x:is>
          <x:t xml:space="preserve">Synthetic - CIE training only</x:t>
        </x:is>
      </x:c>
    </x:row>
    <x:row r="20">
      <x:c r="A20" s="9" t="inlineStr">
        <x:is>
          <x:t xml:space="preserve">TBR-0015</x:t>
        </x:is>
      </x:c>
      <x:c r="B20" s="9" t="inlineStr">
        <x:is>
          <x:t xml:space="preserve">Q3 2026</x:t>
        </x:is>
      </x:c>
      <x:c r="C20" s="9" t="inlineStr">
        <x:is>
          <x:t xml:space="preserve">Poland</x:t>
        </x:is>
      </x:c>
      <x:c r="D20" s="9" t="inlineStr">
        <x:is>
          <x:t xml:space="preserve">Convenience &amp; Fuel</x:t>
        </x:is>
      </x:c>
      <x:c r="E20" s="9" t="inlineStr">
        <x:is>
          <x:t xml:space="preserve">Orchard Lane Fuel &amp; Go (PL)</x:t>
        </x:is>
      </x:c>
      <x:c r="F20" s="9" t="inlineStr">
        <x:is>
          <x:t xml:space="preserve">Developing</x:t>
        </x:is>
      </x:c>
      <x:c r="G20" s="9" t="inlineStr">
        <x:is>
          <x:t xml:space="preserve">Combustibles</x:t>
        </x:is>
      </x:c>
      <x:c r="H20" s="10" t="n">
        <x:v>204.7</x:v>
      </x:c>
      <x:c r="I20" s="10" t="n">
        <x:v>204</x:v>
      </x:c>
      <x:c r="J20" s="11" t="n">
        <x:v>-0.0034</x:v>
      </x:c>
      <x:c r="K20" s="10" t="n">
        <x:v>82.2</x:v>
      </x:c>
      <x:c r="L20" s="10" t="n">
        <x:v>80.90000000000001</x:v>
      </x:c>
      <x:c r="M20" s="11" t="n">
        <x:v>-0.0158</x:v>
      </x:c>
      <x:c r="N20" s="10" t="n">
        <x:v>64.2</x:v>
      </x:c>
      <x:c r="O20" s="16" t="n">
        <x:v>-0.1</x:v>
      </x:c>
      <x:c r="P20" s="9" t="inlineStr">
        <x:is>
          <x:t xml:space="preserve">Standard</x:t>
        </x:is>
      </x:c>
      <x:c r="Q20" s="9" t="inlineStr">
        <x:is>
          <x:t xml:space="preserve">None</x:t>
        </x:is>
      </x:c>
      <x:c r="R20" s="9" t="inlineStr">
        <x:is>
          <x:t xml:space="preserve">None</x:t>
        </x:is>
      </x:c>
      <x:c r="S20" s="9" t="n"/>
      <x:c r="T20" s="17" t="n"/>
      <x:c r="U20" s="9" t="inlineStr">
        <x:is>
          <x:t xml:space="preserve">No action</x:t>
        </x:is>
      </x:c>
      <x:c r="V20" s="9" t="inlineStr">
        <x:is>
          <x:t xml:space="preserve">None</x:t>
        </x:is>
      </x:c>
      <x:c r="W20" s="9" t="inlineStr">
        <x:is>
          <x:t xml:space="preserve">Synthetic - CIE training only</x:t>
        </x:is>
      </x:c>
    </x:row>
    <x:row r="21">
      <x:c r="A21" s="9" t="inlineStr">
        <x:is>
          <x:t xml:space="preserve">TBR-0016</x:t>
        </x:is>
      </x:c>
      <x:c r="B21" s="9" t="inlineStr">
        <x:is>
          <x:t xml:space="preserve">Q3 2026</x:t>
        </x:is>
      </x:c>
      <x:c r="C21" s="9" t="inlineStr">
        <x:is>
          <x:t xml:space="preserve">Poland</x:t>
        </x:is>
      </x:c>
      <x:c r="D21" s="9" t="inlineStr">
        <x:is>
          <x:t xml:space="preserve">Convenience &amp; Fuel</x:t>
        </x:is>
      </x:c>
      <x:c r="E21" s="9" t="inlineStr">
        <x:is>
          <x:t xml:space="preserve">Bluehaven Fuel &amp; Go (PL)</x:t>
        </x:is>
      </x:c>
      <x:c r="F21" s="9" t="inlineStr">
        <x:is>
          <x:t xml:space="preserve">Core</x:t>
        </x:is>
      </x:c>
      <x:c r="G21" s="9" t="inlineStr">
        <x:is>
          <x:t xml:space="preserve">Vapour</x:t>
        </x:is>
      </x:c>
      <x:c r="H21" s="10" t="n">
        <x:v>251.1</x:v>
      </x:c>
      <x:c r="I21" s="10" t="n">
        <x:v>257.9</x:v>
      </x:c>
      <x:c r="J21" s="11" t="n">
        <x:v>0.0271</x:v>
      </x:c>
      <x:c r="K21" s="10" t="n">
        <x:v>131.9</x:v>
      </x:c>
      <x:c r="L21" s="10" t="n">
        <x:v>131.4</x:v>
      </x:c>
      <x:c r="M21" s="11" t="n">
        <x:v>-0.0038</x:v>
      </x:c>
      <x:c r="N21" s="10" t="n">
        <x:v>60.1</x:v>
      </x:c>
      <x:c r="O21" s="16" t="n">
        <x:v>0.1</x:v>
      </x:c>
      <x:c r="P21" s="9" t="inlineStr">
        <x:is>
          <x:t xml:space="preserve">Standard</x:t>
        </x:is>
      </x:c>
      <x:c r="Q21" s="9" t="inlineStr">
        <x:is>
          <x:t xml:space="preserve">Competitor promotion</x:t>
        </x:is>
      </x:c>
      <x:c r="R21" s="9" t="inlineStr">
        <x:is>
          <x:t xml:space="preserve">Validate sell-out data feed with distributor</x:t>
        </x:is>
      </x:c>
      <x:c r="S21" s="9" t="inlineStr">
        <x:is>
          <x:t xml:space="preserve">Channel Manager - Convenience</x:t>
        </x:is>
      </x:c>
      <x:c r="T21" s="17" t="n">
        <x:v>46337</x:v>
      </x:c>
      <x:c r="U21" s="9" t="inlineStr">
        <x:is>
          <x:t xml:space="preserve">On track</x:t>
        </x:is>
      </x:c>
      <x:c r="V21" s="9" t="inlineStr">
        <x:is>
          <x:t xml:space="preserve">Data quality</x:t>
        </x:is>
      </x:c>
      <x:c r="W21" s="9" t="inlineStr">
        <x:is>
          <x:t xml:space="preserve">Synthetic - CIE training only</x:t>
        </x:is>
      </x:c>
    </x:row>
    <x:row r="22">
      <x:c r="A22" s="9" t="inlineStr">
        <x:is>
          <x:t xml:space="preserve">TBR-0017</x:t>
        </x:is>
      </x:c>
      <x:c r="B22" s="9" t="inlineStr">
        <x:is>
          <x:t xml:space="preserve">Q3 2026</x:t>
        </x:is>
      </x:c>
      <x:c r="C22" s="9" t="inlineStr">
        <x:is>
          <x:t xml:space="preserve">Poland</x:t>
        </x:is>
      </x:c>
      <x:c r="D22" s="9" t="inlineStr">
        <x:is>
          <x:t xml:space="preserve">Convenience &amp; Fuel</x:t>
        </x:is>
      </x:c>
      <x:c r="E22" s="9" t="inlineStr">
        <x:is>
          <x:t xml:space="preserve">Orchard Lane Fuel &amp; Go (PL)</x:t>
        </x:is>
      </x:c>
      <x:c r="F22" s="9" t="inlineStr">
        <x:is>
          <x:t xml:space="preserve">Core</x:t>
        </x:is>
      </x:c>
      <x:c r="G22" s="9" t="inlineStr">
        <x:is>
          <x:t xml:space="preserve">Heated Products</x:t>
        </x:is>
      </x:c>
      <x:c r="H22" s="10" t="n">
        <x:v>253.2</x:v>
      </x:c>
      <x:c r="I22" s="10" t="n">
        <x:v>268.5</x:v>
      </x:c>
      <x:c r="J22" s="11" t="n">
        <x:v>0.0604</x:v>
      </x:c>
      <x:c r="K22" s="10" t="n">
        <x:v>145.3</x:v>
      </x:c>
      <x:c r="L22" s="10" t="n">
        <x:v>155.7</x:v>
      </x:c>
      <x:c r="M22" s="11" t="n">
        <x:v>0.0716</x:v>
      </x:c>
      <x:c r="N22" s="10" t="n">
        <x:v>64.3</x:v>
      </x:c>
      <x:c r="O22" s="16" t="n">
        <x:v>0.7</x:v>
      </x:c>
      <x:c r="P22" s="9" t="inlineStr">
        <x:is>
          <x:t xml:space="preserve">None</x:t>
        </x:is>
      </x:c>
      <x:c r="Q22" s="9" t="inlineStr">
        <x:is>
          <x:t xml:space="preserve">Competitor new launch</x:t>
        </x:is>
      </x:c>
      <x:c r="R22" s="9" t="inlineStr">
        <x:is>
          <x:t xml:space="preserve">Assess shelf and range impact of competitor launch</x:t>
        </x:is>
      </x:c>
      <x:c r="S22" s="9" t="inlineStr">
        <x:is>
          <x:t xml:space="preserve">Channel Manager - Convenience</x:t>
        </x:is>
      </x:c>
      <x:c r="T22" s="17" t="n">
        <x:v>46296</x:v>
      </x:c>
      <x:c r="U22" s="9" t="inlineStr">
        <x:is>
          <x:t xml:space="preserve">Closed</x:t>
        </x:is>
      </x:c>
      <x:c r="V22" s="9" t="inlineStr">
        <x:is>
          <x:t xml:space="preserve">Portfolio</x:t>
        </x:is>
      </x:c>
      <x:c r="W22" s="9" t="inlineStr">
        <x:is>
          <x:t xml:space="preserve">Synthetic - CIE training only</x:t>
        </x:is>
      </x:c>
    </x:row>
    <x:row r="23">
      <x:c r="A23" s="9" t="inlineStr">
        <x:is>
          <x:t xml:space="preserve">TBR-0018</x:t>
        </x:is>
      </x:c>
      <x:c r="B23" s="9" t="inlineStr">
        <x:is>
          <x:t xml:space="preserve">Q3 2026</x:t>
        </x:is>
      </x:c>
      <x:c r="C23" s="9" t="inlineStr">
        <x:is>
          <x:t xml:space="preserve">Poland</x:t>
        </x:is>
      </x:c>
      <x:c r="D23" s="9" t="inlineStr">
        <x:is>
          <x:t xml:space="preserve">Convenience &amp; Fuel</x:t>
        </x:is>
      </x:c>
      <x:c r="E23" s="9" t="inlineStr">
        <x:is>
          <x:t xml:space="preserve">Bluehaven Fuel &amp; Go (PL)</x:t>
        </x:is>
      </x:c>
      <x:c r="F23" s="9" t="inlineStr">
        <x:is>
          <x:t xml:space="preserve">Core</x:t>
        </x:is>
      </x:c>
      <x:c r="G23" s="9" t="inlineStr">
        <x:is>
          <x:t xml:space="preserve">Modern Oral</x:t>
        </x:is>
      </x:c>
      <x:c r="H23" s="10" t="n">
        <x:v>294.5</x:v>
      </x:c>
      <x:c r="I23" s="10" t="n">
        <x:v>321.6</x:v>
      </x:c>
      <x:c r="J23" s="11" t="n">
        <x:v>0.092</x:v>
      </x:c>
      <x:c r="K23" s="10" t="n">
        <x:v>145.4</x:v>
      </x:c>
      <x:c r="L23" s="10" t="n">
        <x:v>162</x:v>
      </x:c>
      <x:c r="M23" s="11" t="n">
        <x:v>0.1142</x:v>
      </x:c>
      <x:c r="N23" s="10" t="n">
        <x:v>65.59999999999999</x:v>
      </x:c>
      <x:c r="O23" s="16" t="n">
        <x:v>0.1</x:v>
      </x:c>
      <x:c r="P23" s="9" t="inlineStr">
        <x:is>
          <x:t xml:space="preserve">None</x:t>
        </x:is>
      </x:c>
      <x:c r="Q23" s="9" t="inlineStr">
        <x:is>
          <x:t xml:space="preserve">None</x:t>
        </x:is>
      </x:c>
      <x:c r="R23" s="9" t="inlineStr">
        <x:is>
          <x:t xml:space="preserve">None</x:t>
        </x:is>
      </x:c>
      <x:c r="S23" s="9" t="n"/>
      <x:c r="T23" s="17" t="n"/>
      <x:c r="U23" s="9" t="inlineStr">
        <x:is>
          <x:t xml:space="preserve">No action</x:t>
        </x:is>
      </x:c>
      <x:c r="V23" s="9" t="inlineStr">
        <x:is>
          <x:t xml:space="preserve">None</x:t>
        </x:is>
      </x:c>
      <x:c r="W23" s="9" t="inlineStr">
        <x:is>
          <x:t xml:space="preserve">Synthetic - CIE training only</x:t>
        </x:is>
      </x:c>
    </x:row>
    <x:row r="24">
      <x:c r="A24" s="9" t="inlineStr">
        <x:is>
          <x:t xml:space="preserve">TBR-0019</x:t>
        </x:is>
      </x:c>
      <x:c r="B24" s="9" t="inlineStr">
        <x:is>
          <x:t xml:space="preserve">Q3 2026</x:t>
        </x:is>
      </x:c>
      <x:c r="C24" s="9" t="inlineStr">
        <x:is>
          <x:t xml:space="preserve">Poland</x:t>
        </x:is>
      </x:c>
      <x:c r="D24" s="9" t="inlineStr">
        <x:is>
          <x:t xml:space="preserve">Convenience &amp; Fuel</x:t>
        </x:is>
      </x:c>
      <x:c r="E24" s="9" t="inlineStr">
        <x:is>
          <x:t xml:space="preserve">Orchard Lane Fuel &amp; Go (PL)</x:t>
        </x:is>
      </x:c>
      <x:c r="F24" s="9" t="inlineStr">
        <x:is>
          <x:t xml:space="preserve">Core</x:t>
        </x:is>
      </x:c>
      <x:c r="G24" s="9" t="inlineStr">
        <x:is>
          <x:t xml:space="preserve">Heated Products</x:t>
        </x:is>
      </x:c>
      <x:c r="H24" s="10" t="n">
        <x:v>400.7</x:v>
      </x:c>
      <x:c r="I24" s="10" t="n">
        <x:v>423.1</x:v>
      </x:c>
      <x:c r="J24" s="11" t="n">
        <x:v>0.0559</x:v>
      </x:c>
      <x:c r="K24" s="10" t="n">
        <x:v>248.3</x:v>
      </x:c>
      <x:c r="L24" s="10" t="n">
        <x:v>238.4</x:v>
      </x:c>
      <x:c r="M24" s="11" t="n">
        <x:v>-0.0399</x:v>
      </x:c>
      <x:c r="N24" s="10" t="n">
        <x:v>58.2</x:v>
      </x:c>
      <x:c r="O24" s="16" t="n">
        <x:v>1.1</x:v>
      </x:c>
      <x:c r="P24" s="9" t="inlineStr">
        <x:is>
          <x:t xml:space="preserve">Intensive</x:t>
        </x:is>
      </x:c>
      <x:c r="Q24" s="9" t="inlineStr">
        <x:is>
          <x:t xml:space="preserve">Competitor new launch</x:t>
        </x:is>
      </x:c>
      <x:c r="R24" s="9" t="inlineStr">
        <x:is>
          <x:t xml:space="preserve">Assess shelf and range impact of competitor launch</x:t>
        </x:is>
      </x:c>
      <x:c r="S24" s="9" t="inlineStr">
        <x:is>
          <x:t xml:space="preserve">Channel Manager - Convenience</x:t>
        </x:is>
      </x:c>
      <x:c r="T24" s="17" t="n">
        <x:v>46314</x:v>
      </x:c>
      <x:c r="U24" s="9" t="inlineStr">
        <x:is>
          <x:t xml:space="preserve">On track</x:t>
        </x:is>
      </x:c>
      <x:c r="V24" s="9" t="inlineStr">
        <x:is>
          <x:t xml:space="preserve">Portfolio</x:t>
        </x:is>
      </x:c>
      <x:c r="W24" s="9" t="inlineStr">
        <x:is>
          <x:t xml:space="preserve">Synthetic - CIE training only</x:t>
        </x:is>
      </x:c>
    </x:row>
    <x:row r="25">
      <x:c r="A25" s="9" t="inlineStr">
        <x:is>
          <x:t xml:space="preserve">TBR-0020</x:t>
        </x:is>
      </x:c>
      <x:c r="B25" s="9" t="inlineStr">
        <x:is>
          <x:t xml:space="preserve">Q3 2026</x:t>
        </x:is>
      </x:c>
      <x:c r="C25" s="9" t="inlineStr">
        <x:is>
          <x:t xml:space="preserve">Poland</x:t>
        </x:is>
      </x:c>
      <x:c r="D25" s="9" t="inlineStr">
        <x:is>
          <x:t xml:space="preserve">Convenience &amp; Fuel</x:t>
        </x:is>
      </x:c>
      <x:c r="E25" s="9" t="inlineStr">
        <x:is>
          <x:t xml:space="preserve">Bluehaven Fuel &amp; Go (PL)</x:t>
        </x:is>
      </x:c>
      <x:c r="F25" s="9" t="inlineStr">
        <x:is>
          <x:t xml:space="preserve">Core</x:t>
        </x:is>
      </x:c>
      <x:c r="G25" s="9" t="inlineStr">
        <x:is>
          <x:t xml:space="preserve">Combustibles</x:t>
        </x:is>
      </x:c>
      <x:c r="H25" s="10" t="n">
        <x:v>237</x:v>
      </x:c>
      <x:c r="I25" s="10" t="n">
        <x:v>233.8</x:v>
      </x:c>
      <x:c r="J25" s="11" t="n">
        <x:v>-0.0135</x:v>
      </x:c>
      <x:c r="K25" s="10" t="n">
        <x:v>96.40000000000001</x:v>
      </x:c>
      <x:c r="L25" s="10" t="n">
        <x:v>93.90000000000001</x:v>
      </x:c>
      <x:c r="M25" s="11" t="n">
        <x:v>-0.0259</x:v>
      </x:c>
      <x:c r="N25" s="10" t="n">
        <x:v>64.40000000000001</x:v>
      </x:c>
      <x:c r="O25" s="16" t="n">
        <x:v>0.7</x:v>
      </x:c>
      <x:c r="P25" s="9" t="inlineStr">
        <x:is>
          <x:t xml:space="preserve">Standard</x:t>
        </x:is>
      </x:c>
      <x:c r="Q25" s="9" t="inlineStr">
        <x:is>
          <x:t xml:space="preserve">Competitor promotion</x:t>
        </x:is>
      </x:c>
      <x:c r="R25" s="9" t="inlineStr">
        <x:is>
          <x:t xml:space="preserve">Validate sell-out data feed with distributor</x:t>
        </x:is>
      </x:c>
      <x:c r="S25" s="9" t="inlineStr">
        <x:is>
          <x:t xml:space="preserve">Channel Manager - Convenience</x:t>
        </x:is>
      </x:c>
      <x:c r="T25" s="17" t="n">
        <x:v>46291</x:v>
      </x:c>
      <x:c r="U25" s="9" t="inlineStr">
        <x:is>
          <x:t xml:space="preserve">Closed</x:t>
        </x:is>
      </x:c>
      <x:c r="V25" s="9" t="inlineStr">
        <x:is>
          <x:t xml:space="preserve">Data quality</x:t>
        </x:is>
      </x:c>
      <x:c r="W25" s="9" t="inlineStr">
        <x:is>
          <x:t xml:space="preserve">Synthetic - CIE training only</x:t>
        </x:is>
      </x:c>
    </x:row>
    <x:row r="26">
      <x:c r="A26" s="9" t="inlineStr">
        <x:is>
          <x:t xml:space="preserve">TBR-0021</x:t>
        </x:is>
      </x:c>
      <x:c r="B26" s="9" t="inlineStr">
        <x:is>
          <x:t xml:space="preserve">Q3 2026</x:t>
        </x:is>
      </x:c>
      <x:c r="C26" s="9" t="inlineStr">
        <x:is>
          <x:t xml:space="preserve">Poland</x:t>
        </x:is>
      </x:c>
      <x:c r="D26" s="9" t="inlineStr">
        <x:is>
          <x:t xml:space="preserve">Convenience &amp; Fuel</x:t>
        </x:is>
      </x:c>
      <x:c r="E26" s="9" t="inlineStr">
        <x:is>
          <x:t xml:space="preserve">Orchard Lane Fuel &amp; Go (PL)</x:t>
        </x:is>
      </x:c>
      <x:c r="F26" s="9" t="inlineStr">
        <x:is>
          <x:t xml:space="preserve">Strategic</x:t>
        </x:is>
      </x:c>
      <x:c r="G26" s="9" t="inlineStr">
        <x:is>
          <x:t xml:space="preserve">Combustibles</x:t>
        </x:is>
      </x:c>
      <x:c r="H26" s="10" t="n">
        <x:v>333.8</x:v>
      </x:c>
      <x:c r="I26" s="10" t="n">
        <x:v>318.2</x:v>
      </x:c>
      <x:c r="J26" s="11" t="n">
        <x:v>-0.0467</x:v>
      </x:c>
      <x:c r="K26" s="10" t="n">
        <x:v>144.6</x:v>
      </x:c>
      <x:c r="L26" s="10" t="n">
        <x:v>137.8</x:v>
      </x:c>
      <x:c r="M26" s="11" t="n">
        <x:v>-0.047</x:v>
      </x:c>
      <x:c r="N26" s="10" t="n">
        <x:v>83.90000000000001</x:v>
      </x:c>
      <x:c r="O26" s="16" t="n">
        <x:v>1.5</x:v>
      </x:c>
      <x:c r="P26" s="9" t="inlineStr">
        <x:is>
          <x:t xml:space="preserve">None</x:t>
        </x:is>
      </x:c>
      <x:c r="Q26" s="9" t="inlineStr">
        <x:is>
          <x:t xml:space="preserve">Competitor promotion</x:t>
        </x:is>
      </x:c>
      <x:c r="R26" s="9" t="inlineStr">
        <x:is>
          <x:t xml:space="preserve">Validate sell-out data feed with distributor</x:t>
        </x:is>
      </x:c>
      <x:c r="S26" s="9" t="inlineStr">
        <x:is>
          <x:t xml:space="preserve">Channel Manager - Convenience</x:t>
        </x:is>
      </x:c>
      <x:c r="T26" s="17" t="n">
        <x:v>46357</x:v>
      </x:c>
      <x:c r="U26" s="9" t="inlineStr">
        <x:is>
          <x:t xml:space="preserve">On track</x:t>
        </x:is>
      </x:c>
      <x:c r="V26" s="9" t="inlineStr">
        <x:is>
          <x:t xml:space="preserve">Data quality</x:t>
        </x:is>
      </x:c>
      <x:c r="W26" s="9" t="inlineStr">
        <x:is>
          <x:t xml:space="preserve">Synthetic - CIE training only</x:t>
        </x:is>
      </x:c>
    </x:row>
    <x:row r="27">
      <x:c r="A27" s="9" t="inlineStr">
        <x:is>
          <x:t xml:space="preserve">TBR-0022</x:t>
        </x:is>
      </x:c>
      <x:c r="B27" s="9" t="inlineStr">
        <x:is>
          <x:t xml:space="preserve">Q3 2026</x:t>
        </x:is>
      </x:c>
      <x:c r="C27" s="9" t="inlineStr">
        <x:is>
          <x:t xml:space="preserve">Poland</x:t>
        </x:is>
      </x:c>
      <x:c r="D27" s="9" t="inlineStr">
        <x:is>
          <x:t xml:space="preserve">Wholesale</x:t>
        </x:is>
      </x:c>
      <x:c r="E27" s="9" t="inlineStr">
        <x:is>
          <x:t xml:space="preserve">Redwood Wholesale (PL)</x:t>
        </x:is>
      </x:c>
      <x:c r="F27" s="9" t="inlineStr">
        <x:is>
          <x:t xml:space="preserve">Core</x:t>
        </x:is>
      </x:c>
      <x:c r="G27" s="9" t="inlineStr">
        <x:is>
          <x:t xml:space="preserve">Combustibles</x:t>
        </x:is>
      </x:c>
      <x:c r="H27" s="10" t="n">
        <x:v>505</x:v>
      </x:c>
      <x:c r="I27" s="10" t="n">
        <x:v>471.3</x:v>
      </x:c>
      <x:c r="J27" s="11" t="n">
        <x:v>-0.0667</x:v>
      </x:c>
      <x:c r="K27" s="10" t="n">
        <x:v>206.6</x:v>
      </x:c>
      <x:c r="L27" s="10" t="n">
        <x:v>194.2</x:v>
      </x:c>
      <x:c r="M27" s="11" t="n">
        <x:v>-0.06</x:v>
      </x:c>
      <x:c r="N27" s="10" t="n">
        <x:v>64</x:v>
      </x:c>
      <x:c r="O27" s="16" t="n">
        <x:v>-0.7</x:v>
      </x:c>
      <x:c r="P27" s="9" t="inlineStr">
        <x:is>
          <x:t xml:space="preserve">None</x:t>
        </x:is>
      </x:c>
      <x:c r="Q27" s="9" t="inlineStr">
        <x:is>
          <x:t xml:space="preserve">Competitor promotion</x:t>
        </x:is>
      </x:c>
      <x:c r="R27" s="9" t="inlineStr">
        <x:is>
          <x:t xml:space="preserve">Confirm Q4 visit plan and in-store execution checks</x:t>
        </x:is>
      </x:c>
      <x:c r="S27" s="9" t="inlineStr">
        <x:is>
          <x:t xml:space="preserve">Distributor Development Manager</x:t>
        </x:is>
      </x:c>
      <x:c r="T27" s="17" t="n">
        <x:v>46280</x:v>
      </x:c>
      <x:c r="U27" s="9" t="inlineStr">
        <x:is>
          <x:t xml:space="preserve">Closed</x:t>
        </x:is>
      </x:c>
      <x:c r="V27" s="9" t="inlineStr">
        <x:is>
          <x:t xml:space="preserve">None</x:t>
        </x:is>
      </x:c>
      <x:c r="W27" s="9" t="inlineStr">
        <x:is>
          <x:t xml:space="preserve">Synthetic - CIE training only</x:t>
        </x:is>
      </x:c>
    </x:row>
    <x:row r="28">
      <x:c r="A28" s="9" t="inlineStr">
        <x:is>
          <x:t xml:space="preserve">TBR-0023</x:t>
        </x:is>
      </x:c>
      <x:c r="B28" s="9" t="inlineStr">
        <x:is>
          <x:t xml:space="preserve">Q3 2026</x:t>
        </x:is>
      </x:c>
      <x:c r="C28" s="9" t="inlineStr">
        <x:is>
          <x:t xml:space="preserve">Poland</x:t>
        </x:is>
      </x:c>
      <x:c r="D28" s="9" t="inlineStr">
        <x:is>
          <x:t xml:space="preserve">Wholesale</x:t>
        </x:is>
      </x:c>
      <x:c r="E28" s="9" t="inlineStr">
        <x:is>
          <x:t xml:space="preserve">Larkspur Wholesale (PL)</x:t>
        </x:is>
      </x:c>
      <x:c r="F28" s="9" t="inlineStr">
        <x:is>
          <x:t xml:space="preserve">Strategic</x:t>
        </x:is>
      </x:c>
      <x:c r="G28" s="9" t="inlineStr">
        <x:is>
          <x:t xml:space="preserve">Vapour</x:t>
        </x:is>
      </x:c>
      <x:c r="H28" s="10" t="n">
        <x:v>636.9</x:v>
      </x:c>
      <x:c r="I28" s="10" t="n">
        <x:v>644.9</x:v>
      </x:c>
      <x:c r="J28" s="11" t="n">
        <x:v>0.0126</x:v>
      </x:c>
      <x:c r="K28" s="10" t="n">
        <x:v>347</x:v>
      </x:c>
      <x:c r="L28" s="10" t="n">
        <x:v>347.9</x:v>
      </x:c>
      <x:c r="M28" s="11" t="n">
        <x:v>0.0026</x:v>
      </x:c>
      <x:c r="N28" s="10" t="n">
        <x:v>69.2</x:v>
      </x:c>
      <x:c r="O28" s="16" t="n">
        <x:v>0.4</x:v>
      </x:c>
      <x:c r="P28" s="9" t="inlineStr">
        <x:is>
          <x:t xml:space="preserve">Standard</x:t>
        </x:is>
      </x:c>
      <x:c r="Q28" s="9" t="inlineStr">
        <x:is>
          <x:t xml:space="preserve">None</x:t>
        </x:is>
      </x:c>
      <x:c r="R28" s="9" t="inlineStr">
        <x:is>
          <x:t xml:space="preserve">Validate sell-out data feed with distributor</x:t>
        </x:is>
      </x:c>
      <x:c r="S28" s="9" t="inlineStr">
        <x:is>
          <x:t xml:space="preserve">Distributor Development Manager</x:t>
        </x:is>
      </x:c>
      <x:c r="T28" s="17" t="n">
        <x:v>46272</x:v>
      </x:c>
      <x:c r="U28" s="9" t="inlineStr">
        <x:is>
          <x:t xml:space="preserve">Overdue</x:t>
        </x:is>
      </x:c>
      <x:c r="V28" s="9" t="inlineStr">
        <x:is>
          <x:t xml:space="preserve">Data quality</x:t>
        </x:is>
      </x:c>
      <x:c r="W28" s="9" t="inlineStr">
        <x:is>
          <x:t xml:space="preserve">Synthetic - CIE training only</x:t>
        </x:is>
      </x:c>
    </x:row>
    <x:row r="29">
      <x:c r="A29" s="9" t="inlineStr">
        <x:is>
          <x:t xml:space="preserve">TBR-0024</x:t>
        </x:is>
      </x:c>
      <x:c r="B29" s="9" t="inlineStr">
        <x:is>
          <x:t xml:space="preserve">Q3 2026</x:t>
        </x:is>
      </x:c>
      <x:c r="C29" s="9" t="inlineStr">
        <x:is>
          <x:t xml:space="preserve">Poland</x:t>
        </x:is>
      </x:c>
      <x:c r="D29" s="9" t="inlineStr">
        <x:is>
          <x:t xml:space="preserve">Wholesale</x:t>
        </x:is>
      </x:c>
      <x:c r="E29" s="9" t="inlineStr">
        <x:is>
          <x:t xml:space="preserve">Redwood Wholesale (PL)</x:t>
        </x:is>
      </x:c>
      <x:c r="F29" s="9" t="inlineStr">
        <x:is>
          <x:t xml:space="preserve">Strategic</x:t>
        </x:is>
      </x:c>
      <x:c r="G29" s="9" t="inlineStr">
        <x:is>
          <x:t xml:space="preserve">Heated Products</x:t>
        </x:is>
      </x:c>
      <x:c r="H29" s="10" t="n">
        <x:v>591.7</x:v>
      </x:c>
      <x:c r="I29" s="10" t="n">
        <x:v>633</x:v>
      </x:c>
      <x:c r="J29" s="11" t="n">
        <x:v>0.0698</x:v>
      </x:c>
      <x:c r="K29" s="10" t="n">
        <x:v>343.9</x:v>
      </x:c>
      <x:c r="L29" s="10" t="n">
        <x:v>361.6</x:v>
      </x:c>
      <x:c r="M29" s="11" t="n">
        <x:v>0.0515</x:v>
      </x:c>
      <x:c r="N29" s="10" t="n">
        <x:v>82</x:v>
      </x:c>
      <x:c r="O29" s="16" t="n">
        <x:v>0.3</x:v>
      </x:c>
      <x:c r="P29" s="9" t="inlineStr">
        <x:is>
          <x:t xml:space="preserve">Standard</x:t>
        </x:is>
      </x:c>
      <x:c r="Q29" s="9" t="inlineStr">
        <x:is>
          <x:t xml:space="preserve">Competitor new launch</x:t>
        </x:is>
      </x:c>
      <x:c r="R29" s="9" t="inlineStr">
        <x:is>
          <x:t xml:space="preserve">Assess shelf and range impact of competitor launch</x:t>
        </x:is>
      </x:c>
      <x:c r="S29" s="9" t="inlineStr">
        <x:is>
          <x:t xml:space="preserve">Distributor Development Manager</x:t>
        </x:is>
      </x:c>
      <x:c r="T29" s="17" t="n">
        <x:v>46287</x:v>
      </x:c>
      <x:c r="U29" s="9" t="inlineStr">
        <x:is>
          <x:t xml:space="preserve">Overdue</x:t>
        </x:is>
      </x:c>
      <x:c r="V29" s="9" t="inlineStr">
        <x:is>
          <x:t xml:space="preserve">Portfolio</x:t>
        </x:is>
      </x:c>
      <x:c r="W29" s="9" t="inlineStr">
        <x:is>
          <x:t xml:space="preserve">Synthetic - CIE training only</x:t>
        </x:is>
      </x:c>
    </x:row>
    <x:row r="30">
      <x:c r="A30" s="9" t="inlineStr">
        <x:is>
          <x:t xml:space="preserve">TBR-0025</x:t>
        </x:is>
      </x:c>
      <x:c r="B30" s="9" t="inlineStr">
        <x:is>
          <x:t xml:space="preserve">Q3 2026</x:t>
        </x:is>
      </x:c>
      <x:c r="C30" s="9" t="inlineStr">
        <x:is>
          <x:t xml:space="preserve">Poland</x:t>
        </x:is>
      </x:c>
      <x:c r="D30" s="9" t="inlineStr">
        <x:is>
          <x:t xml:space="preserve">Wholesale</x:t>
        </x:is>
      </x:c>
      <x:c r="E30" s="9" t="inlineStr">
        <x:is>
          <x:t xml:space="preserve">Larkspur Wholesale (PL)</x:t>
        </x:is>
      </x:c>
      <x:c r="F30" s="9" t="inlineStr">
        <x:is>
          <x:t xml:space="preserve">Developing</x:t>
        </x:is>
      </x:c>
      <x:c r="G30" s="9" t="inlineStr">
        <x:is>
          <x:t xml:space="preserve">Modern Oral</x:t>
        </x:is>
      </x:c>
      <x:c r="H30" s="10" t="n">
        <x:v>568.7</x:v>
      </x:c>
      <x:c r="I30" s="10" t="n">
        <x:v>617.6</x:v>
      </x:c>
      <x:c r="J30" s="11" t="n">
        <x:v>0.08599999999999999</x:v>
      </x:c>
      <x:c r="K30" s="10" t="n">
        <x:v>277</x:v>
      </x:c>
      <x:c r="L30" s="10" t="n">
        <x:v>295.6</x:v>
      </x:c>
      <x:c r="M30" s="11" t="n">
        <x:v>0.06710000000000001</x:v>
      </x:c>
      <x:c r="N30" s="10" t="n">
        <x:v>83.3</x:v>
      </x:c>
      <x:c r="O30" s="16" t="n">
        <x:v>0.3</x:v>
      </x:c>
      <x:c r="P30" s="9" t="inlineStr">
        <x:is>
          <x:t xml:space="preserve">Standard</x:t>
        </x:is>
      </x:c>
      <x:c r="Q30" s="9" t="inlineStr">
        <x:is>
          <x:t xml:space="preserve">None</x:t>
        </x:is>
      </x:c>
      <x:c r="R30" s="9" t="inlineStr">
        <x:is>
          <x:t xml:space="preserve">None</x:t>
        </x:is>
      </x:c>
      <x:c r="S30" s="9" t="n"/>
      <x:c r="T30" s="17" t="n"/>
      <x:c r="U30" s="9" t="inlineStr">
        <x:is>
          <x:t xml:space="preserve">No action</x:t>
        </x:is>
      </x:c>
      <x:c r="V30" s="9" t="inlineStr">
        <x:is>
          <x:t xml:space="preserve">None</x:t>
        </x:is>
      </x:c>
      <x:c r="W30" s="9" t="inlineStr">
        <x:is>
          <x:t xml:space="preserve">Synthetic - CIE training only</x:t>
        </x:is>
      </x:c>
    </x:row>
    <x:row r="31">
      <x:c r="A31" s="9" t="inlineStr">
        <x:is>
          <x:t xml:space="preserve">TBR-0026</x:t>
        </x:is>
      </x:c>
      <x:c r="B31" s="9" t="inlineStr">
        <x:is>
          <x:t xml:space="preserve">Q3 2026</x:t>
        </x:is>
      </x:c>
      <x:c r="C31" s="9" t="inlineStr">
        <x:is>
          <x:t xml:space="preserve">Poland</x:t>
        </x:is>
      </x:c>
      <x:c r="D31" s="9" t="inlineStr">
        <x:is>
          <x:t xml:space="preserve">Wholesale</x:t>
        </x:is>
      </x:c>
      <x:c r="E31" s="9" t="inlineStr">
        <x:is>
          <x:t xml:space="preserve">Redwood Wholesale (PL)</x:t>
        </x:is>
      </x:c>
      <x:c r="F31" s="9" t="inlineStr">
        <x:is>
          <x:t xml:space="preserve">Developing</x:t>
        </x:is>
      </x:c>
      <x:c r="G31" s="9" t="inlineStr">
        <x:is>
          <x:t xml:space="preserve">Vapour</x:t>
        </x:is>
      </x:c>
      <x:c r="H31" s="10" t="n">
        <x:v>396.3</x:v>
      </x:c>
      <x:c r="I31" s="10" t="n">
        <x:v>414.3</x:v>
      </x:c>
      <x:c r="J31" s="11" t="n">
        <x:v>0.0454</x:v>
      </x:c>
      <x:c r="K31" s="10" t="n">
        <x:v>215</x:v>
      </x:c>
      <x:c r="L31" s="10" t="n">
        <x:v>204.2</x:v>
      </x:c>
      <x:c r="M31" s="11" t="n">
        <x:v>-0.0502</x:v>
      </x:c>
      <x:c r="N31" s="10" t="n">
        <x:v>84.59999999999999</x:v>
      </x:c>
      <x:c r="O31" s="16" t="n">
        <x:v>0.7</x:v>
      </x:c>
      <x:c r="P31" s="9" t="inlineStr">
        <x:is>
          <x:t xml:space="preserve">Intensive</x:t>
        </x:is>
      </x:c>
      <x:c r="Q31" s="9" t="inlineStr">
        <x:is>
          <x:t xml:space="preserve">None</x:t>
        </x:is>
      </x:c>
      <x:c r="R31" s="9" t="inlineStr">
        <x:is>
          <x:t xml:space="preserve">None</x:t>
        </x:is>
      </x:c>
      <x:c r="S31" s="9" t="n"/>
      <x:c r="T31" s="17" t="n"/>
      <x:c r="U31" s="9" t="inlineStr">
        <x:is>
          <x:t xml:space="preserve">No action</x:t>
        </x:is>
      </x:c>
      <x:c r="V31" s="9" t="inlineStr">
        <x:is>
          <x:t xml:space="preserve">None</x:t>
        </x:is>
      </x:c>
      <x:c r="W31" s="9" t="inlineStr">
        <x:is>
          <x:t xml:space="preserve">Synthetic - CIE training only</x:t>
        </x:is>
      </x:c>
    </x:row>
    <x:row r="32">
      <x:c r="A32" s="9" t="inlineStr">
        <x:is>
          <x:t xml:space="preserve">TBR-0027</x:t>
        </x:is>
      </x:c>
      <x:c r="B32" s="9" t="inlineStr">
        <x:is>
          <x:t xml:space="preserve">Q3 2026</x:t>
        </x:is>
      </x:c>
      <x:c r="C32" s="9" t="inlineStr">
        <x:is>
          <x:t xml:space="preserve">Poland</x:t>
        </x:is>
      </x:c>
      <x:c r="D32" s="9" t="inlineStr">
        <x:is>
          <x:t xml:space="preserve">Wholesale</x:t>
        </x:is>
      </x:c>
      <x:c r="E32" s="9" t="inlineStr">
        <x:is>
          <x:t xml:space="preserve">Larkspur Wholesale (PL)</x:t>
        </x:is>
      </x:c>
      <x:c r="F32" s="9" t="inlineStr">
        <x:is>
          <x:t xml:space="preserve">Strategic</x:t>
        </x:is>
      </x:c>
      <x:c r="G32" s="9" t="inlineStr">
        <x:is>
          <x:t xml:space="preserve">Modern Oral</x:t>
        </x:is>
      </x:c>
      <x:c r="H32" s="10" t="n">
        <x:v>535.6</x:v>
      </x:c>
      <x:c r="I32" s="10" t="n">
        <x:v>600.6</x:v>
      </x:c>
      <x:c r="J32" s="11" t="n">
        <x:v>0.1214</x:v>
      </x:c>
      <x:c r="K32" s="10" t="n">
        <x:v>277.8</x:v>
      </x:c>
      <x:c r="L32" s="10" t="n">
        <x:v>311.5</x:v>
      </x:c>
      <x:c r="M32" s="11" t="n">
        <x:v>0.1213</x:v>
      </x:c>
      <x:c r="N32" s="10" t="n">
        <x:v>73.7</x:v>
      </x:c>
      <x:c r="O32" s="16" t="n">
        <x:v>-1.1</x:v>
      </x:c>
      <x:c r="P32" s="9" t="inlineStr">
        <x:is>
          <x:t xml:space="preserve">Standard</x:t>
        </x:is>
      </x:c>
      <x:c r="Q32" s="9" t="inlineStr">
        <x:is>
          <x:t xml:space="preserve">Competitor new launch</x:t>
        </x:is>
      </x:c>
      <x:c r="R32" s="9" t="inlineStr">
        <x:is>
          <x:t xml:space="preserve">Assess shelf and range impact of competitor launch</x:t>
        </x:is>
      </x:c>
      <x:c r="S32" s="9" t="inlineStr">
        <x:is>
          <x:t xml:space="preserve">Distributor Development Manager</x:t>
        </x:is>
      </x:c>
      <x:c r="T32" s="17" t="n">
        <x:v>46329</x:v>
      </x:c>
      <x:c r="U32" s="9" t="inlineStr">
        <x:is>
          <x:t xml:space="preserve">On track</x:t>
        </x:is>
      </x:c>
      <x:c r="V32" s="9" t="inlineStr">
        <x:is>
          <x:t xml:space="preserve">Portfolio</x:t>
        </x:is>
      </x:c>
      <x:c r="W32" s="9" t="inlineStr">
        <x:is>
          <x:t xml:space="preserve">Synthetic - CIE training only</x:t>
        </x:is>
      </x:c>
    </x:row>
    <x:row r="33">
      <x:c r="A33" s="9" t="inlineStr">
        <x:is>
          <x:t xml:space="preserve">TBR-0028</x:t>
        </x:is>
      </x:c>
      <x:c r="B33" s="9" t="inlineStr">
        <x:is>
          <x:t xml:space="preserve">Q3 2026</x:t>
        </x:is>
      </x:c>
      <x:c r="C33" s="9" t="inlineStr">
        <x:is>
          <x:t xml:space="preserve">Poland</x:t>
        </x:is>
      </x:c>
      <x:c r="D33" s="9" t="inlineStr">
        <x:is>
          <x:t xml:space="preserve">Wholesale</x:t>
        </x:is>
      </x:c>
      <x:c r="E33" s="9" t="inlineStr">
        <x:is>
          <x:t xml:space="preserve">Redwood Wholesale (PL)</x:t>
        </x:is>
      </x:c>
      <x:c r="F33" s="9" t="inlineStr">
        <x:is>
          <x:t xml:space="preserve">Developing</x:t>
        </x:is>
      </x:c>
      <x:c r="G33" s="9" t="inlineStr">
        <x:is>
          <x:t xml:space="preserve">Heated Products</x:t>
        </x:is>
      </x:c>
      <x:c r="H33" s="10" t="n">
        <x:v>381.9</x:v>
      </x:c>
      <x:c r="I33" s="10" t="n">
        <x:v>396.8</x:v>
      </x:c>
      <x:c r="J33" s="11" t="n">
        <x:v>0.039</x:v>
      </x:c>
      <x:c r="K33" s="10" t="n">
        <x:v>237.4</x:v>
      </x:c>
      <x:c r="L33" s="10" t="n">
        <x:v>242.9</x:v>
      </x:c>
      <x:c r="M33" s="11" t="n">
        <x:v>0.0232</x:v>
      </x:c>
      <x:c r="N33" s="10" t="n">
        <x:v>74.40000000000001</x:v>
      </x:c>
      <x:c r="O33" s="16" t="n">
        <x:v>0.8</x:v>
      </x:c>
      <x:c r="P33" s="9" t="inlineStr">
        <x:is>
          <x:t xml:space="preserve">Standard</x:t>
        </x:is>
      </x:c>
      <x:c r="Q33" s="9" t="inlineStr">
        <x:is>
          <x:t xml:space="preserve">None</x:t>
        </x:is>
      </x:c>
      <x:c r="R33" s="9" t="inlineStr">
        <x:is>
          <x:t xml:space="preserve">None</x:t>
        </x:is>
      </x:c>
      <x:c r="S33" s="9" t="n"/>
      <x:c r="T33" s="17" t="n"/>
      <x:c r="U33" s="9" t="inlineStr">
        <x:is>
          <x:t xml:space="preserve">No action</x:t>
        </x:is>
      </x:c>
      <x:c r="V33" s="9" t="inlineStr">
        <x:is>
          <x:t xml:space="preserve">None</x:t>
        </x:is>
      </x:c>
      <x:c r="W33" s="9" t="inlineStr">
        <x:is>
          <x:t xml:space="preserve">Synthetic - CIE training only</x:t>
        </x:is>
      </x:c>
    </x:row>
    <x:row r="34">
      <x:c r="A34" s="9" t="inlineStr">
        <x:is>
          <x:t xml:space="preserve">TBR-0029</x:t>
        </x:is>
      </x:c>
      <x:c r="B34" s="9" t="inlineStr">
        <x:is>
          <x:t xml:space="preserve">Q3 2026</x:t>
        </x:is>
      </x:c>
      <x:c r="C34" s="9" t="inlineStr">
        <x:is>
          <x:t xml:space="preserve">Romania</x:t>
        </x:is>
      </x:c>
      <x:c r="D34" s="9" t="inlineStr">
        <x:is>
          <x:t xml:space="preserve">Key Accounts</x:t>
        </x:is>
      </x:c>
      <x:c r="E34" s="9" t="inlineStr">
        <x:is>
          <x:t xml:space="preserve">Stonegate Retail Group (RO)</x:t>
        </x:is>
      </x:c>
      <x:c r="F34" s="9" t="inlineStr">
        <x:is>
          <x:t xml:space="preserve">Strategic</x:t>
        </x:is>
      </x:c>
      <x:c r="G34" s="9" t="inlineStr">
        <x:is>
          <x:t xml:space="preserve">Vapour</x:t>
        </x:is>
      </x:c>
      <x:c r="H34" s="10" t="n">
        <x:v>429.3</x:v>
      </x:c>
      <x:c r="I34" s="10" t="n">
        <x:v>450</x:v>
      </x:c>
      <x:c r="J34" s="11" t="n">
        <x:v>0.0482</x:v>
      </x:c>
      <x:c r="K34" s="10" t="n">
        <x:v>233.4</x:v>
      </x:c>
      <x:c r="L34" s="10" t="n">
        <x:v>245.9</x:v>
      </x:c>
      <x:c r="M34" s="11" t="n">
        <x:v>0.0536</x:v>
      </x:c>
      <x:c r="N34" s="10" t="n">
        <x:v>58.6</x:v>
      </x:c>
      <x:c r="O34" s="16" t="n">
        <x:v>0.6</x:v>
      </x:c>
      <x:c r="P34" s="9" t="inlineStr">
        <x:is>
          <x:t xml:space="preserve">None</x:t>
        </x:is>
      </x:c>
      <x:c r="Q34" s="9" t="inlineStr">
        <x:is>
          <x:t xml:space="preserve">None</x:t>
        </x:is>
      </x:c>
      <x:c r="R34" s="9" t="inlineStr">
        <x:is>
          <x:t xml:space="preserve">None</x:t>
        </x:is>
      </x:c>
      <x:c r="S34" s="9" t="n"/>
      <x:c r="T34" s="17" t="n"/>
      <x:c r="U34" s="9" t="inlineStr">
        <x:is>
          <x:t xml:space="preserve">No action</x:t>
        </x:is>
      </x:c>
      <x:c r="V34" s="9" t="inlineStr">
        <x:is>
          <x:t xml:space="preserve">None</x:t>
        </x:is>
      </x:c>
      <x:c r="W34" s="9" t="inlineStr">
        <x:is>
          <x:t xml:space="preserve">Synthetic - CIE training only</x:t>
        </x:is>
      </x:c>
    </x:row>
    <x:row r="35">
      <x:c r="A35" s="9" t="inlineStr">
        <x:is>
          <x:t xml:space="preserve">TBR-0030</x:t>
        </x:is>
      </x:c>
      <x:c r="B35" s="9" t="inlineStr">
        <x:is>
          <x:t xml:space="preserve">Q3 2026</x:t>
        </x:is>
      </x:c>
      <x:c r="C35" s="9" t="inlineStr">
        <x:is>
          <x:t xml:space="preserve">Romania</x:t>
        </x:is>
      </x:c>
      <x:c r="D35" s="9" t="inlineStr">
        <x:is>
          <x:t xml:space="preserve">Key Accounts</x:t>
        </x:is>
      </x:c>
      <x:c r="E35" s="9" t="inlineStr">
        <x:is>
          <x:t xml:space="preserve">Harbourview Retail Group (RO)</x:t>
        </x:is>
      </x:c>
      <x:c r="F35" s="9" t="inlineStr">
        <x:is>
          <x:t xml:space="preserve">Developing</x:t>
        </x:is>
      </x:c>
      <x:c r="G35" s="9" t="inlineStr">
        <x:is>
          <x:t xml:space="preserve">Heated Products</x:t>
        </x:is>
      </x:c>
      <x:c r="H35" s="10" t="n">
        <x:v>853.1</x:v>
      </x:c>
      <x:c r="I35" s="10" t="n">
        <x:v>854</x:v>
      </x:c>
      <x:c r="J35" s="11" t="n">
        <x:v>0.0011</x:v>
      </x:c>
      <x:c r="K35" s="10" t="n">
        <x:v>514.1</x:v>
      </x:c>
      <x:c r="L35" s="10" t="n">
        <x:v>504.7</x:v>
      </x:c>
      <x:c r="M35" s="11" t="n">
        <x:v>-0.0183</x:v>
      </x:c>
      <x:c r="N35" s="10" t="n">
        <x:v>67.40000000000001</x:v>
      </x:c>
      <x:c r="O35" s="16" t="n">
        <x:v>0.3</x:v>
      </x:c>
      <x:c r="P35" s="9" t="inlineStr">
        <x:is>
          <x:t xml:space="preserve">Standard</x:t>
        </x:is>
      </x:c>
      <x:c r="Q35" s="9" t="inlineStr">
        <x:is>
          <x:t xml:space="preserve">None</x:t>
        </x:is>
      </x:c>
      <x:c r="R35" s="9" t="inlineStr">
        <x:is>
          <x:t xml:space="preserve">None</x:t>
        </x:is>
      </x:c>
      <x:c r="S35" s="9" t="n"/>
      <x:c r="T35" s="17" t="n"/>
      <x:c r="U35" s="9" t="inlineStr">
        <x:is>
          <x:t xml:space="preserve">No action</x:t>
        </x:is>
      </x:c>
      <x:c r="V35" s="9" t="inlineStr">
        <x:is>
          <x:t xml:space="preserve">None</x:t>
        </x:is>
      </x:c>
      <x:c r="W35" s="9" t="inlineStr">
        <x:is>
          <x:t xml:space="preserve">Synthetic - CIE training only</x:t>
        </x:is>
      </x:c>
    </x:row>
    <x:row r="36">
      <x:c r="A36" s="9" t="inlineStr">
        <x:is>
          <x:t xml:space="preserve">TBR-0031</x:t>
        </x:is>
      </x:c>
      <x:c r="B36" s="9" t="inlineStr">
        <x:is>
          <x:t xml:space="preserve">Q3 2026</x:t>
        </x:is>
      </x:c>
      <x:c r="C36" s="9" t="inlineStr">
        <x:is>
          <x:t xml:space="preserve">Romania</x:t>
        </x:is>
      </x:c>
      <x:c r="D36" s="9" t="inlineStr">
        <x:is>
          <x:t xml:space="preserve">Key Accounts</x:t>
        </x:is>
      </x:c>
      <x:c r="E36" s="9" t="inlineStr">
        <x:is>
          <x:t xml:space="preserve">Stonegate Retail Group (RO)</x:t>
        </x:is>
      </x:c>
      <x:c r="F36" s="9" t="inlineStr">
        <x:is>
          <x:t xml:space="preserve">Strategic</x:t>
        </x:is>
      </x:c>
      <x:c r="G36" s="9" t="inlineStr">
        <x:is>
          <x:t xml:space="preserve">Modern Oral</x:t>
        </x:is>
      </x:c>
      <x:c r="H36" s="10" t="n">
        <x:v>646.1</x:v>
      </x:c>
      <x:c r="I36" s="10" t="n">
        <x:v>713.5</x:v>
      </x:c>
      <x:c r="J36" s="11" t="n">
        <x:v>0.1043</x:v>
      </x:c>
      <x:c r="K36" s="10" t="n">
        <x:v>320.5</x:v>
      </x:c>
      <x:c r="L36" s="10" t="n">
        <x:v>347.9</x:v>
      </x:c>
      <x:c r="M36" s="11" t="n">
        <x:v>0.08550000000000001</x:v>
      </x:c>
      <x:c r="N36" s="10" t="n">
        <x:v>66.09999999999999</x:v>
      </x:c>
      <x:c r="O36" s="16" t="n">
        <x:v>0.2</x:v>
      </x:c>
      <x:c r="P36" s="9" t="inlineStr">
        <x:is>
          <x:t xml:space="preserve">Standard</x:t>
        </x:is>
      </x:c>
      <x:c r="Q36" s="9" t="inlineStr">
        <x:is>
          <x:t xml:space="preserve">None</x:t>
        </x:is>
      </x:c>
      <x:c r="R36" s="9" t="inlineStr">
        <x:is>
          <x:t xml:space="preserve">None</x:t>
        </x:is>
      </x:c>
      <x:c r="S36" s="9" t="n"/>
      <x:c r="T36" s="17" t="n"/>
      <x:c r="U36" s="9" t="inlineStr">
        <x:is>
          <x:t xml:space="preserve">No action</x:t>
        </x:is>
      </x:c>
      <x:c r="V36" s="9" t="inlineStr">
        <x:is>
          <x:t xml:space="preserve">None</x:t>
        </x:is>
      </x:c>
      <x:c r="W36" s="9" t="inlineStr">
        <x:is>
          <x:t xml:space="preserve">Synthetic - CIE training only</x:t>
        </x:is>
      </x:c>
    </x:row>
    <x:row r="37">
      <x:c r="A37" s="9" t="inlineStr">
        <x:is>
          <x:t xml:space="preserve">TBR-0032</x:t>
        </x:is>
      </x:c>
      <x:c r="B37" s="9" t="inlineStr">
        <x:is>
          <x:t xml:space="preserve">Q3 2026</x:t>
        </x:is>
      </x:c>
      <x:c r="C37" s="9" t="inlineStr">
        <x:is>
          <x:t xml:space="preserve">Romania</x:t>
        </x:is>
      </x:c>
      <x:c r="D37" s="9" t="inlineStr">
        <x:is>
          <x:t xml:space="preserve">Key Accounts</x:t>
        </x:is>
      </x:c>
      <x:c r="E37" s="9" t="inlineStr">
        <x:is>
          <x:t xml:space="preserve">Harbourview Retail Group (RO)</x:t>
        </x:is>
      </x:c>
      <x:c r="F37" s="9" t="inlineStr">
        <x:is>
          <x:t xml:space="preserve">Developing</x:t>
        </x:is>
      </x:c>
      <x:c r="G37" s="9" t="inlineStr">
        <x:is>
          <x:t xml:space="preserve">Combustibles</x:t>
        </x:is>
      </x:c>
      <x:c r="H37" s="10" t="n">
        <x:v>448.8</x:v>
      </x:c>
      <x:c r="I37" s="10" t="n">
        <x:v>430.1</x:v>
      </x:c>
      <x:c r="J37" s="11" t="n">
        <x:v>-0.0417</x:v>
      </x:c>
      <x:c r="K37" s="10" t="n">
        <x:v>195.3</x:v>
      </x:c>
      <x:c r="L37" s="10" t="n">
        <x:v>186.4</x:v>
      </x:c>
      <x:c r="M37" s="11" t="n">
        <x:v>-0.0456</x:v>
      </x:c>
      <x:c r="N37" s="10" t="n">
        <x:v>58.5</x:v>
      </x:c>
      <x:c r="O37" s="16" t="n">
        <x:v>-0.4</x:v>
      </x:c>
      <x:c r="P37" s="9" t="inlineStr">
        <x:is>
          <x:t xml:space="preserve">None</x:t>
        </x:is>
      </x:c>
      <x:c r="Q37" s="9" t="inlineStr">
        <x:is>
          <x:t xml:space="preserve">None</x:t>
        </x:is>
      </x:c>
      <x:c r="R37" s="9" t="inlineStr">
        <x:is>
          <x:t xml:space="preserve">Validate sell-out data feed with distributor</x:t>
        </x:is>
      </x:c>
      <x:c r="S37" s="9" t="inlineStr">
        <x:is>
          <x:t xml:space="preserve">Key Account Manager</x:t>
        </x:is>
      </x:c>
      <x:c r="T37" s="17" t="n">
        <x:v>46294</x:v>
      </x:c>
      <x:c r="U37" s="9" t="inlineStr">
        <x:is>
          <x:t xml:space="preserve">Closed</x:t>
        </x:is>
      </x:c>
      <x:c r="V37" s="9" t="inlineStr">
        <x:is>
          <x:t xml:space="preserve">Data quality</x:t>
        </x:is>
      </x:c>
      <x:c r="W37" s="9" t="inlineStr">
        <x:is>
          <x:t xml:space="preserve">Synthetic - CIE training only</x:t>
        </x:is>
      </x:c>
    </x:row>
    <x:row r="38">
      <x:c r="A38" s="9" t="inlineStr">
        <x:is>
          <x:t xml:space="preserve">TBR-0033</x:t>
        </x:is>
      </x:c>
      <x:c r="B38" s="9" t="inlineStr">
        <x:is>
          <x:t xml:space="preserve">Q3 2026</x:t>
        </x:is>
      </x:c>
      <x:c r="C38" s="9" t="inlineStr">
        <x:is>
          <x:t xml:space="preserve">Romania</x:t>
        </x:is>
      </x:c>
      <x:c r="D38" s="9" t="inlineStr">
        <x:is>
          <x:t xml:space="preserve">Key Accounts</x:t>
        </x:is>
      </x:c>
      <x:c r="E38" s="9" t="inlineStr">
        <x:is>
          <x:t xml:space="preserve">Stonegate Retail Group (RO)</x:t>
        </x:is>
      </x:c>
      <x:c r="F38" s="9" t="inlineStr">
        <x:is>
          <x:t xml:space="preserve">Strategic</x:t>
        </x:is>
      </x:c>
      <x:c r="G38" s="9" t="inlineStr">
        <x:is>
          <x:t xml:space="preserve">Heated Products</x:t>
        </x:is>
      </x:c>
      <x:c r="H38" s="10" t="n">
        <x:v>744.2</x:v>
      </x:c>
      <x:c r="I38" s="10" t="n">
        <x:v>750.2</x:v>
      </x:c>
      <x:c r="J38" s="11" t="n">
        <x:v>0.0081</x:v>
      </x:c>
      <x:c r="K38" s="10" t="n">
        <x:v>435.3</x:v>
      </x:c>
      <x:c r="L38" s="10" t="n">
        <x:v>431.8</x:v>
      </x:c>
      <x:c r="M38" s="11" t="n">
        <x:v>-0.008</x:v>
      </x:c>
      <x:c r="N38" s="10" t="n">
        <x:v>57.6</x:v>
      </x:c>
      <x:c r="O38" s="16" t="n">
        <x:v>-0.1</x:v>
      </x:c>
      <x:c r="P38" s="9" t="inlineStr">
        <x:is>
          <x:t xml:space="preserve">Standard</x:t>
        </x:is>
      </x:c>
      <x:c r="Q38" s="9" t="inlineStr">
        <x:is>
          <x:t xml:space="preserve">None</x:t>
        </x:is>
      </x:c>
      <x:c r="R38" s="9" t="inlineStr">
        <x:is>
          <x:t xml:space="preserve">None</x:t>
        </x:is>
      </x:c>
      <x:c r="S38" s="9" t="n"/>
      <x:c r="T38" s="17" t="n"/>
      <x:c r="U38" s="9" t="inlineStr">
        <x:is>
          <x:t xml:space="preserve">No action</x:t>
        </x:is>
      </x:c>
      <x:c r="V38" s="9" t="inlineStr">
        <x:is>
          <x:t xml:space="preserve">None</x:t>
        </x:is>
      </x:c>
      <x:c r="W38" s="9" t="inlineStr">
        <x:is>
          <x:t xml:space="preserve">Synthetic - CIE training only</x:t>
        </x:is>
      </x:c>
    </x:row>
    <x:row r="39">
      <x:c r="A39" s="9" t="inlineStr">
        <x:is>
          <x:t xml:space="preserve">TBR-0034</x:t>
        </x:is>
      </x:c>
      <x:c r="B39" s="9" t="inlineStr">
        <x:is>
          <x:t xml:space="preserve">Q3 2026</x:t>
        </x:is>
      </x:c>
      <x:c r="C39" s="9" t="inlineStr">
        <x:is>
          <x:t xml:space="preserve">Romania</x:t>
        </x:is>
      </x:c>
      <x:c r="D39" s="9" t="inlineStr">
        <x:is>
          <x:t xml:space="preserve">Key Accounts</x:t>
        </x:is>
      </x:c>
      <x:c r="E39" s="9" t="inlineStr">
        <x:is>
          <x:t xml:space="preserve">Harbourview Retail Group (RO)</x:t>
        </x:is>
      </x:c>
      <x:c r="F39" s="9" t="inlineStr">
        <x:is>
          <x:t xml:space="preserve">Developing</x:t>
        </x:is>
      </x:c>
      <x:c r="G39" s="9" t="inlineStr">
        <x:is>
          <x:t xml:space="preserve">Combustibles</x:t>
        </x:is>
      </x:c>
      <x:c r="H39" s="10" t="n">
        <x:v>406.6</x:v>
      </x:c>
      <x:c r="I39" s="10" t="n">
        <x:v>393.6</x:v>
      </x:c>
      <x:c r="J39" s="11" t="n">
        <x:v>-0.032</x:v>
      </x:c>
      <x:c r="K39" s="10" t="n">
        <x:v>164.9</x:v>
      </x:c>
      <x:c r="L39" s="10" t="n">
        <x:v>163.7</x:v>
      </x:c>
      <x:c r="M39" s="11" t="n">
        <x:v>-0.0073</x:v>
      </x:c>
      <x:c r="N39" s="10" t="n">
        <x:v>64.2</x:v>
      </x:c>
      <x:c r="O39" s="16" t="n">
        <x:v>0.3</x:v>
      </x:c>
      <x:c r="P39" s="9" t="inlineStr">
        <x:is>
          <x:t xml:space="preserve">None</x:t>
        </x:is>
      </x:c>
      <x:c r="Q39" s="9" t="inlineStr">
        <x:is>
          <x:t xml:space="preserve">Competitor promotion</x:t>
        </x:is>
      </x:c>
      <x:c r="R39" s="9" t="inlineStr">
        <x:is>
          <x:t xml:space="preserve">Confirm Q4 visit plan and in-store execution checks</x:t>
        </x:is>
      </x:c>
      <x:c r="S39" s="9" t="inlineStr">
        <x:is>
          <x:t xml:space="preserve">Key Account Manager</x:t>
        </x:is>
      </x:c>
      <x:c r="T39" s="17" t="n">
        <x:v>46326</x:v>
      </x:c>
      <x:c r="U39" s="9" t="inlineStr">
        <x:is>
          <x:t xml:space="preserve">On track</x:t>
        </x:is>
      </x:c>
      <x:c r="V39" s="9" t="inlineStr">
        <x:is>
          <x:t xml:space="preserve">None</x:t>
        </x:is>
      </x:c>
      <x:c r="W39" s="9" t="inlineStr">
        <x:is>
          <x:t xml:space="preserve">Synthetic - CIE training only</x:t>
        </x:is>
      </x:c>
    </x:row>
    <x:row r="40">
      <x:c r="A40" s="9" t="inlineStr">
        <x:is>
          <x:t xml:space="preserve">TBR-0035</x:t>
        </x:is>
      </x:c>
      <x:c r="B40" s="9" t="inlineStr">
        <x:is>
          <x:t xml:space="preserve">Q3 2026</x:t>
        </x:is>
      </x:c>
      <x:c r="C40" s="9" t="inlineStr">
        <x:is>
          <x:t xml:space="preserve">Romania</x:t>
        </x:is>
      </x:c>
      <x:c r="D40" s="9" t="inlineStr">
        <x:is>
          <x:t xml:space="preserve">Key Accounts</x:t>
        </x:is>
      </x:c>
      <x:c r="E40" s="9" t="inlineStr">
        <x:is>
          <x:t xml:space="preserve">Stonegate Retail Group (RO)</x:t>
        </x:is>
      </x:c>
      <x:c r="F40" s="9" t="inlineStr">
        <x:is>
          <x:t xml:space="preserve">Strategic</x:t>
        </x:is>
      </x:c>
      <x:c r="G40" s="9" t="inlineStr">
        <x:is>
          <x:t xml:space="preserve">Heated Products</x:t>
        </x:is>
      </x:c>
      <x:c r="H40" s="10" t="n">
        <x:v>775.8</x:v>
      </x:c>
      <x:c r="I40" s="10" t="n">
        <x:v>754.2</x:v>
      </x:c>
      <x:c r="J40" s="11" t="n">
        <x:v>-0.0278</x:v>
      </x:c>
      <x:c r="K40" s="10" t="n">
        <x:v>443.5</x:v>
      </x:c>
      <x:c r="L40" s="10" t="n">
        <x:v>437.5</x:v>
      </x:c>
      <x:c r="M40" s="11" t="n">
        <x:v>-0.0135</x:v>
      </x:c>
      <x:c r="N40" s="10" t="n">
        <x:v>81.90000000000001</x:v>
      </x:c>
      <x:c r="O40" s="16" t="n">
        <x:v>1.9</x:v>
      </x:c>
      <x:c r="P40" s="9" t="inlineStr">
        <x:is>
          <x:t xml:space="preserve">None</x:t>
        </x:is>
      </x:c>
      <x:c r="Q40" s="9" t="inlineStr">
        <x:is>
          <x:t xml:space="preserve">Display space lost</x:t>
        </x:is>
      </x:c>
      <x:c r="R40" s="9" t="inlineStr">
        <x:is>
          <x:t xml:space="preserve">Agree display recovery plan with account (no terms committed)</x:t>
        </x:is>
      </x:c>
      <x:c r="S40" s="9" t="inlineStr">
        <x:is>
          <x:t xml:space="preserve">Key Account Manager</x:t>
        </x:is>
      </x:c>
      <x:c r="T40" s="17" t="n">
        <x:v>46311</x:v>
      </x:c>
      <x:c r="U40" s="9" t="inlineStr">
        <x:is>
          <x:t xml:space="preserve">Not started</x:t>
        </x:is>
      </x:c>
      <x:c r="V40" s="9" t="inlineStr">
        <x:is>
          <x:t xml:space="preserve">Customer terms</x:t>
        </x:is>
      </x:c>
      <x:c r="W40" s="9" t="inlineStr">
        <x:is>
          <x:t xml:space="preserve">Synthetic - CIE training only</x:t>
        </x:is>
      </x:c>
    </x:row>
    <x:row r="41">
      <x:c r="A41" s="9" t="inlineStr">
        <x:is>
          <x:t xml:space="preserve">TBR-0036</x:t>
        </x:is>
      </x:c>
      <x:c r="B41" s="9" t="inlineStr">
        <x:is>
          <x:t xml:space="preserve">Q3 2026</x:t>
        </x:is>
      </x:c>
      <x:c r="C41" s="9" t="inlineStr">
        <x:is>
          <x:t xml:space="preserve">Romania</x:t>
        </x:is>
      </x:c>
      <x:c r="D41" s="9" t="inlineStr">
        <x:is>
          <x:t xml:space="preserve">Traditional Trade</x:t>
        </x:is>
      </x:c>
      <x:c r="E41" s="9" t="inlineStr">
        <x:is>
          <x:t xml:space="preserve">Copperfield Independents Network (RO)</x:t>
        </x:is>
      </x:c>
      <x:c r="F41" s="9" t="inlineStr">
        <x:is>
          <x:t xml:space="preserve">Core</x:t>
        </x:is>
      </x:c>
      <x:c r="G41" s="9" t="inlineStr">
        <x:is>
          <x:t xml:space="preserve">Vapour</x:t>
        </x:is>
      </x:c>
      <x:c r="H41" s="10" t="n">
        <x:v>439.2</x:v>
      </x:c>
      <x:c r="I41" s="10" t="n">
        <x:v>403.6</x:v>
      </x:c>
      <x:c r="J41" s="11" t="n">
        <x:v>-0.08110000000000001</x:v>
      </x:c>
      <x:c r="K41" s="10" t="n">
        <x:v>242.4</x:v>
      </x:c>
      <x:c r="L41" s="10" t="n">
        <x:v>221.6</x:v>
      </x:c>
      <x:c r="M41" s="11" t="n">
        <x:v>-0.0858</x:v>
      </x:c>
      <x:c r="N41" s="10" t="n">
        <x:v>56</x:v>
      </x:c>
      <x:c r="O41" s="16" t="n">
        <x:v>-2.2</x:v>
      </x:c>
      <x:c r="P41" s="9" t="inlineStr">
        <x:is>
          <x:t xml:space="preserve">None</x:t>
        </x:is>
      </x:c>
      <x:c r="Q41" s="9" t="inlineStr">
        <x:is>
          <x:t xml:space="preserve">Competitor promotion</x:t>
        </x:is>
      </x:c>
      <x:c r="R41" s="9" t="inlineStr">
        <x:is>
          <x:t xml:space="preserve">Close distribution gap in priority outlets</x:t>
        </x:is>
      </x:c>
      <x:c r="S41" s="9" t="inlineStr">
        <x:is>
          <x:t xml:space="preserve">Area Sales Manager</x:t>
        </x:is>
      </x:c>
      <x:c r="T41" s="17" t="n">
        <x:v>46299</x:v>
      </x:c>
      <x:c r="U41" s="9" t="inlineStr">
        <x:is>
          <x:t xml:space="preserve">Closed</x:t>
        </x:is>
      </x:c>
      <x:c r="V41" s="9" t="inlineStr">
        <x:is>
          <x:t xml:space="preserve">None</x:t>
        </x:is>
      </x:c>
      <x:c r="W41" s="9" t="inlineStr">
        <x:is>
          <x:t xml:space="preserve">Synthetic - CIE training only</x:t>
        </x:is>
      </x:c>
    </x:row>
    <x:row r="42">
      <x:c r="A42" s="9" t="inlineStr">
        <x:is>
          <x:t xml:space="preserve">TBR-0037</x:t>
        </x:is>
      </x:c>
      <x:c r="B42" s="9" t="inlineStr">
        <x:is>
          <x:t xml:space="preserve">Q3 2026</x:t>
        </x:is>
      </x:c>
      <x:c r="C42" s="9" t="inlineStr">
        <x:is>
          <x:t xml:space="preserve">Romania</x:t>
        </x:is>
      </x:c>
      <x:c r="D42" s="9" t="inlineStr">
        <x:is>
          <x:t xml:space="preserve">Traditional Trade</x:t>
        </x:is>
      </x:c>
      <x:c r="E42" s="9" t="inlineStr">
        <x:is>
          <x:t xml:space="preserve">Westmere Independents Network (RO)</x:t>
        </x:is>
      </x:c>
      <x:c r="F42" s="9" t="inlineStr">
        <x:is>
          <x:t xml:space="preserve">Developing</x:t>
        </x:is>
      </x:c>
      <x:c r="G42" s="9" t="inlineStr">
        <x:is>
          <x:t xml:space="preserve">Heated Products</x:t>
        </x:is>
      </x:c>
      <x:c r="H42" s="10" t="n">
        <x:v>318.9</x:v>
      </x:c>
      <x:c r="I42" s="10" t="n">
        <x:v>282.8</x:v>
      </x:c>
      <x:c r="J42" s="11" t="n">
        <x:v>-0.1132</x:v>
      </x:c>
      <x:c r="K42" s="10" t="n">
        <x:v>197.1</x:v>
      </x:c>
      <x:c r="L42" s="10" t="n">
        <x:v>174.2</x:v>
      </x:c>
      <x:c r="M42" s="11" t="n">
        <x:v>-0.1162</x:v>
      </x:c>
      <x:c r="N42" s="10" t="n">
        <x:v>82.40000000000001</x:v>
      </x:c>
      <x:c r="O42" s="16" t="n">
        <x:v>-0.9</x:v>
      </x:c>
      <x:c r="P42" s="9" t="inlineStr">
        <x:is>
          <x:t xml:space="preserve">Standard</x:t>
        </x:is>
      </x:c>
      <x:c r="Q42" s="9" t="inlineStr">
        <x:is>
          <x:t xml:space="preserve">Competitor promotion</x:t>
        </x:is>
      </x:c>
      <x:c r="R42" s="9" t="inlineStr">
        <x:is>
          <x:t xml:space="preserve">Validate sell-out data feed with distributor</x:t>
        </x:is>
      </x:c>
      <x:c r="S42" s="9" t="inlineStr">
        <x:is>
          <x:t xml:space="preserve">Area Sales Manager</x:t>
        </x:is>
      </x:c>
      <x:c r="T42" s="17" t="n">
        <x:v>46366</x:v>
      </x:c>
      <x:c r="U42" s="9" t="inlineStr">
        <x:is>
          <x:t xml:space="preserve">On track</x:t>
        </x:is>
      </x:c>
      <x:c r="V42" s="9" t="inlineStr">
        <x:is>
          <x:t xml:space="preserve">Data quality</x:t>
        </x:is>
      </x:c>
      <x:c r="W42" s="9" t="inlineStr">
        <x:is>
          <x:t xml:space="preserve">Synthetic - CIE training only</x:t>
        </x:is>
      </x:c>
    </x:row>
    <x:row r="43">
      <x:c r="A43" s="9" t="inlineStr">
        <x:is>
          <x:t xml:space="preserve">TBR-0038</x:t>
        </x:is>
      </x:c>
      <x:c r="B43" s="9" t="inlineStr">
        <x:is>
          <x:t xml:space="preserve">Q3 2026</x:t>
        </x:is>
      </x:c>
      <x:c r="C43" s="9" t="inlineStr">
        <x:is>
          <x:t xml:space="preserve">Romania</x:t>
        </x:is>
      </x:c>
      <x:c r="D43" s="9" t="inlineStr">
        <x:is>
          <x:t xml:space="preserve">Traditional Trade</x:t>
        </x:is>
      </x:c>
      <x:c r="E43" s="9" t="inlineStr">
        <x:is>
          <x:t xml:space="preserve">Copperfield Independents Network (RO)</x:t>
        </x:is>
      </x:c>
      <x:c r="F43" s="9" t="inlineStr">
        <x:is>
          <x:t xml:space="preserve">Core</x:t>
        </x:is>
      </x:c>
      <x:c r="G43" s="9" t="inlineStr">
        <x:is>
          <x:t xml:space="preserve">Modern Oral</x:t>
        </x:is>
      </x:c>
      <x:c r="H43" s="10" t="n">
        <x:v>241.4</x:v>
      </x:c>
      <x:c r="I43" s="10" t="n">
        <x:v>256.4</x:v>
      </x:c>
      <x:c r="J43" s="11" t="n">
        <x:v>0.0621</x:v>
      </x:c>
      <x:c r="K43" s="10" t="n">
        <x:v>123.2</x:v>
      </x:c>
      <x:c r="L43" s="10" t="n">
        <x:v>120.5</x:v>
      </x:c>
      <x:c r="M43" s="11" t="n">
        <x:v>-0.0219</x:v>
      </x:c>
      <x:c r="N43" s="10" t="n">
        <x:v>75.5</x:v>
      </x:c>
      <x:c r="O43" s="16" t="n">
        <x:v>-3.9</x:v>
      </x:c>
      <x:c r="P43" s="9" t="inlineStr">
        <x:is>
          <x:t xml:space="preserve">Intensive</x:t>
        </x:is>
      </x:c>
      <x:c r="Q43" s="9" t="inlineStr">
        <x:is>
          <x:t xml:space="preserve">Display space lost</x:t>
        </x:is>
      </x:c>
      <x:c r="R43" s="9" t="inlineStr">
        <x:is>
          <x:t xml:space="preserve">Agree display recovery plan with account (no terms committed)</x:t>
        </x:is>
      </x:c>
      <x:c r="S43" s="9" t="inlineStr">
        <x:is>
          <x:t xml:space="preserve">Area Sales Manager</x:t>
        </x:is>
      </x:c>
      <x:c r="T43" s="17" t="n">
        <x:v>46359</x:v>
      </x:c>
      <x:c r="U43" s="9" t="inlineStr">
        <x:is>
          <x:t xml:space="preserve">Not started</x:t>
        </x:is>
      </x:c>
      <x:c r="V43" s="9" t="inlineStr">
        <x:is>
          <x:t xml:space="preserve">Customer terms</x:t>
        </x:is>
      </x:c>
      <x:c r="W43" s="9" t="inlineStr">
        <x:is>
          <x:t xml:space="preserve">Synthetic - CIE training only</x:t>
        </x:is>
      </x:c>
    </x:row>
    <x:row r="44">
      <x:c r="A44" s="9" t="inlineStr">
        <x:is>
          <x:t xml:space="preserve">TBR-0039</x:t>
        </x:is>
      </x:c>
      <x:c r="B44" s="9" t="inlineStr">
        <x:is>
          <x:t xml:space="preserve">Q3 2026</x:t>
        </x:is>
      </x:c>
      <x:c r="C44" s="9" t="inlineStr">
        <x:is>
          <x:t xml:space="preserve">Romania</x:t>
        </x:is>
      </x:c>
      <x:c r="D44" s="9" t="inlineStr">
        <x:is>
          <x:t xml:space="preserve">Traditional Trade</x:t>
        </x:is>
      </x:c>
      <x:c r="E44" s="9" t="inlineStr">
        <x:is>
          <x:t xml:space="preserve">Westmere Independents Network (RO)</x:t>
        </x:is>
      </x:c>
      <x:c r="F44" s="9" t="inlineStr">
        <x:is>
          <x:t xml:space="preserve">Core</x:t>
        </x:is>
      </x:c>
      <x:c r="G44" s="9" t="inlineStr">
        <x:is>
          <x:t xml:space="preserve">Combustibles</x:t>
        </x:is>
      </x:c>
      <x:c r="H44" s="10" t="n">
        <x:v>408.4</x:v>
      </x:c>
      <x:c r="I44" s="10" t="n">
        <x:v>359.1</x:v>
      </x:c>
      <x:c r="J44" s="11" t="n">
        <x:v>-0.1207</x:v>
      </x:c>
      <x:c r="K44" s="10" t="n">
        <x:v>168.6</x:v>
      </x:c>
      <x:c r="L44" s="10" t="n">
        <x:v>145.1</x:v>
      </x:c>
      <x:c r="M44" s="11" t="n">
        <x:v>-0.1394</x:v>
      </x:c>
      <x:c r="N44" s="10" t="n">
        <x:v>71.90000000000001</x:v>
      </x:c>
      <x:c r="O44" s="16" t="n">
        <x:v>-1.8</x:v>
      </x:c>
      <x:c r="P44" s="9" t="inlineStr">
        <x:is>
          <x:t xml:space="preserve">Standard</x:t>
        </x:is>
      </x:c>
      <x:c r="Q44" s="9" t="inlineStr">
        <x:is>
          <x:t xml:space="preserve">Display space lost</x:t>
        </x:is>
      </x:c>
      <x:c r="R44" s="9" t="inlineStr">
        <x:is>
          <x:t xml:space="preserve">Agree display recovery plan with account (no terms committed)</x:t>
        </x:is>
      </x:c>
      <x:c r="S44" s="9" t="inlineStr">
        <x:is>
          <x:t xml:space="preserve">Area Sales Manager</x:t>
        </x:is>
      </x:c>
      <x:c r="T44" s="17" t="n">
        <x:v>46313</x:v>
      </x:c>
      <x:c r="U44" s="9" t="inlineStr">
        <x:is>
          <x:t xml:space="preserve">On track</x:t>
        </x:is>
      </x:c>
      <x:c r="V44" s="9" t="inlineStr">
        <x:is>
          <x:t xml:space="preserve">Customer terms</x:t>
        </x:is>
      </x:c>
      <x:c r="W44" s="9" t="inlineStr">
        <x:is>
          <x:t xml:space="preserve">Synthetic - CIE training only</x:t>
        </x:is>
      </x:c>
    </x:row>
    <x:row r="45">
      <x:c r="A45" s="9" t="inlineStr">
        <x:is>
          <x:t xml:space="preserve">TBR-0040</x:t>
        </x:is>
      </x:c>
      <x:c r="B45" s="9" t="inlineStr">
        <x:is>
          <x:t xml:space="preserve">Q3 2026</x:t>
        </x:is>
      </x:c>
      <x:c r="C45" s="9" t="inlineStr">
        <x:is>
          <x:t xml:space="preserve">Romania</x:t>
        </x:is>
      </x:c>
      <x:c r="D45" s="9" t="inlineStr">
        <x:is>
          <x:t xml:space="preserve">Traditional Trade</x:t>
        </x:is>
      </x:c>
      <x:c r="E45" s="9" t="inlineStr">
        <x:is>
          <x:t xml:space="preserve">Copperfield Independents Network (RO)</x:t>
        </x:is>
      </x:c>
      <x:c r="F45" s="9" t="inlineStr">
        <x:is>
          <x:t xml:space="preserve">Core</x:t>
        </x:is>
      </x:c>
      <x:c r="G45" s="9" t="inlineStr">
        <x:is>
          <x:t xml:space="preserve">Combustibles</x:t>
        </x:is>
      </x:c>
      <x:c r="H45" s="10" t="n">
        <x:v>480.3</x:v>
      </x:c>
      <x:c r="I45" s="10" t="n">
        <x:v>425.3</x:v>
      </x:c>
      <x:c r="J45" s="11" t="n">
        <x:v>-0.1145</x:v>
      </x:c>
      <x:c r="K45" s="10" t="n">
        <x:v>205.4</x:v>
      </x:c>
      <x:c r="L45" s="10" t="n">
        <x:v>186.3</x:v>
      </x:c>
      <x:c r="M45" s="11" t="n">
        <x:v>-0.093</x:v>
      </x:c>
      <x:c r="N45" s="10" t="n">
        <x:v>56.5</x:v>
      </x:c>
      <x:c r="O45" s="16" t="n">
        <x:v>-1.5</x:v>
      </x:c>
      <x:c r="P45" s="9" t="inlineStr">
        <x:is>
          <x:t xml:space="preserve">None</x:t>
        </x:is>
      </x:c>
      <x:c r="Q45" s="9" t="inlineStr">
        <x:is>
          <x:t xml:space="preserve">Display space lost</x:t>
        </x:is>
      </x:c>
      <x:c r="R45" s="9" t="inlineStr">
        <x:is>
          <x:t xml:space="preserve">Agree display recovery plan with account (no terms committed)</x:t>
        </x:is>
      </x:c>
      <x:c r="S45" s="9" t="inlineStr">
        <x:is>
          <x:t xml:space="preserve">Area Sales Manager</x:t>
        </x:is>
      </x:c>
      <x:c r="T45" s="17" t="n">
        <x:v>46272</x:v>
      </x:c>
      <x:c r="U45" s="9" t="inlineStr">
        <x:is>
          <x:t xml:space="preserve">Overdue</x:t>
        </x:is>
      </x:c>
      <x:c r="V45" s="9" t="inlineStr">
        <x:is>
          <x:t xml:space="preserve">Customer terms</x:t>
        </x:is>
      </x:c>
      <x:c r="W45" s="9" t="inlineStr">
        <x:is>
          <x:t xml:space="preserve">Synthetic - CIE training only</x:t>
        </x:is>
      </x:c>
    </x:row>
    <x:row r="46">
      <x:c r="A46" s="9" t="inlineStr">
        <x:is>
          <x:t xml:space="preserve">TBR-0041</x:t>
        </x:is>
      </x:c>
      <x:c r="B46" s="9" t="inlineStr">
        <x:is>
          <x:t xml:space="preserve">Q3 2026</x:t>
        </x:is>
      </x:c>
      <x:c r="C46" s="9" t="inlineStr">
        <x:is>
          <x:t xml:space="preserve">Romania</x:t>
        </x:is>
      </x:c>
      <x:c r="D46" s="9" t="inlineStr">
        <x:is>
          <x:t xml:space="preserve">Traditional Trade</x:t>
        </x:is>
      </x:c>
      <x:c r="E46" s="9" t="inlineStr">
        <x:is>
          <x:t xml:space="preserve">Westmere Independents Network (RO)</x:t>
        </x:is>
      </x:c>
      <x:c r="F46" s="9" t="inlineStr">
        <x:is>
          <x:t xml:space="preserve">Strategic</x:t>
        </x:is>
      </x:c>
      <x:c r="G46" s="9" t="inlineStr">
        <x:is>
          <x:t xml:space="preserve">Modern Oral</x:t>
        </x:is>
      </x:c>
      <x:c r="H46" s="10" t="n">
        <x:v>478.8</x:v>
      </x:c>
      <x:c r="I46" s="10" t="n">
        <x:v>495.5</x:v>
      </x:c>
      <x:c r="J46" s="11" t="n">
        <x:v>0.0349</x:v>
      </x:c>
      <x:c r="K46" s="10" t="n">
        <x:v>239</x:v>
      </x:c>
      <x:c r="L46" s="10" t="n">
        <x:v>243</x:v>
      </x:c>
      <x:c r="M46" s="11" t="n">
        <x:v>0.0167</x:v>
      </x:c>
      <x:c r="N46" s="10" t="n">
        <x:v>74.09999999999999</x:v>
      </x:c>
      <x:c r="O46" s="16" t="n">
        <x:v>-1.4</x:v>
      </x:c>
      <x:c r="P46" s="9" t="inlineStr">
        <x:is>
          <x:t xml:space="preserve">Standard</x:t>
        </x:is>
      </x:c>
      <x:c r="Q46" s="9" t="inlineStr">
        <x:is>
          <x:t xml:space="preserve">Competitor promotion</x:t>
        </x:is>
      </x:c>
      <x:c r="R46" s="9" t="inlineStr">
        <x:is>
          <x:t xml:space="preserve">Close distribution gap in priority outlets</x:t>
        </x:is>
      </x:c>
      <x:c r="S46" s="9" t="inlineStr">
        <x:is>
          <x:t xml:space="preserve">Area Sales Manager</x:t>
        </x:is>
      </x:c>
      <x:c r="T46" s="17" t="n">
        <x:v>46358</x:v>
      </x:c>
      <x:c r="U46" s="9" t="inlineStr">
        <x:is>
          <x:t xml:space="preserve">On track</x:t>
        </x:is>
      </x:c>
      <x:c r="V46" s="9" t="inlineStr">
        <x:is>
          <x:t xml:space="preserve">None</x:t>
        </x:is>
      </x:c>
      <x:c r="W46" s="9" t="inlineStr">
        <x:is>
          <x:t xml:space="preserve">Synthetic - CIE training only</x:t>
        </x:is>
      </x:c>
    </x:row>
    <x:row r="47">
      <x:c r="A47" s="9" t="inlineStr">
        <x:is>
          <x:t xml:space="preserve">TBR-0042</x:t>
        </x:is>
      </x:c>
      <x:c r="B47" s="9" t="inlineStr">
        <x:is>
          <x:t xml:space="preserve">Q3 2026</x:t>
        </x:is>
      </x:c>
      <x:c r="C47" s="9" t="inlineStr">
        <x:is>
          <x:t xml:space="preserve">Romania</x:t>
        </x:is>
      </x:c>
      <x:c r="D47" s="9" t="inlineStr">
        <x:is>
          <x:t xml:space="preserve">Traditional Trade</x:t>
        </x:is>
      </x:c>
      <x:c r="E47" s="9" t="inlineStr">
        <x:is>
          <x:t xml:space="preserve">Copperfield Independents Network (RO)</x:t>
        </x:is>
      </x:c>
      <x:c r="F47" s="9" t="inlineStr">
        <x:is>
          <x:t xml:space="preserve">Strategic</x:t>
        </x:is>
      </x:c>
      <x:c r="G47" s="9" t="inlineStr">
        <x:is>
          <x:t xml:space="preserve">Combustibles</x:t>
        </x:is>
      </x:c>
      <x:c r="H47" s="10" t="n">
        <x:v>334.8</x:v>
      </x:c>
      <x:c r="I47" s="10" t="n">
        <x:v>296</x:v>
      </x:c>
      <x:c r="J47" s="11" t="n">
        <x:v>-0.1159</x:v>
      </x:c>
      <x:c r="K47" s="10" t="n">
        <x:v>144.4</x:v>
      </x:c>
      <x:c r="L47" s="10" t="n">
        <x:v>128</x:v>
      </x:c>
      <x:c r="M47" s="11" t="n">
        <x:v>-0.1136</x:v>
      </x:c>
      <x:c r="N47" s="10" t="n">
        <x:v>73.8</x:v>
      </x:c>
      <x:c r="O47" s="16" t="n">
        <x:v>-1.5</x:v>
      </x:c>
      <x:c r="P47" s="9" t="inlineStr">
        <x:is>
          <x:t xml:space="preserve">None</x:t>
        </x:is>
      </x:c>
      <x:c r="Q47" s="9" t="inlineStr">
        <x:is>
          <x:t xml:space="preserve">Competitor promotion</x:t>
        </x:is>
      </x:c>
      <x:c r="R47" s="9" t="inlineStr">
        <x:is>
          <x:t xml:space="preserve">Close distribution gap in priority outlets</x:t>
        </x:is>
      </x:c>
      <x:c r="S47" s="9" t="inlineStr">
        <x:is>
          <x:t xml:space="preserve">Area Sales Manager</x:t>
        </x:is>
      </x:c>
      <x:c r="T47" s="17" t="n">
        <x:v>46304</x:v>
      </x:c>
      <x:c r="U47" s="9" t="inlineStr">
        <x:is>
          <x:t xml:space="preserve">Closed</x:t>
        </x:is>
      </x:c>
      <x:c r="V47" s="9" t="inlineStr">
        <x:is>
          <x:t xml:space="preserve">None</x:t>
        </x:is>
      </x:c>
      <x:c r="W47" s="9" t="inlineStr">
        <x:is>
          <x:t xml:space="preserve">Synthetic - CIE training only</x:t>
        </x:is>
      </x:c>
    </x:row>
    <x:row r="48">
      <x:c r="A48" s="9" t="inlineStr">
        <x:is>
          <x:t xml:space="preserve">TBR-0043</x:t>
        </x:is>
      </x:c>
      <x:c r="B48" s="9" t="inlineStr">
        <x:is>
          <x:t xml:space="preserve">Q3 2026</x:t>
        </x:is>
      </x:c>
      <x:c r="C48" s="9" t="inlineStr">
        <x:is>
          <x:t xml:space="preserve">Romania</x:t>
        </x:is>
      </x:c>
      <x:c r="D48" s="9" t="inlineStr">
        <x:is>
          <x:t xml:space="preserve">Convenience &amp; Fuel</x:t>
        </x:is>
      </x:c>
      <x:c r="E48" s="9" t="inlineStr">
        <x:is>
          <x:t xml:space="preserve">Brightwell Fuel &amp; Go (RO)</x:t>
        </x:is>
      </x:c>
      <x:c r="F48" s="9" t="inlineStr">
        <x:is>
          <x:t xml:space="preserve">Core</x:t>
        </x:is>
      </x:c>
      <x:c r="G48" s="9" t="inlineStr">
        <x:is>
          <x:t xml:space="preserve">Vapour</x:t>
        </x:is>
      </x:c>
      <x:c r="H48" s="10" t="n">
        <x:v>356</x:v>
      </x:c>
      <x:c r="I48" s="10" t="n">
        <x:v>352.6</x:v>
      </x:c>
      <x:c r="J48" s="11" t="n">
        <x:v>-0.009599999999999999</x:v>
      </x:c>
      <x:c r="K48" s="10" t="n">
        <x:v>196.4</x:v>
      </x:c>
      <x:c r="L48" s="10" t="n">
        <x:v>192.8</x:v>
      </x:c>
      <x:c r="M48" s="11" t="n">
        <x:v>-0.0183</x:v>
      </x:c>
      <x:c r="N48" s="10" t="n">
        <x:v>74.5</x:v>
      </x:c>
      <x:c r="O48" s="16" t="n">
        <x:v>0.5</x:v>
      </x:c>
      <x:c r="P48" s="9" t="inlineStr">
        <x:is>
          <x:t xml:space="preserve">Standard</x:t>
        </x:is>
      </x:c>
      <x:c r="Q48" s="9" t="inlineStr">
        <x:is>
          <x:t xml:space="preserve">None</x:t>
        </x:is>
      </x:c>
      <x:c r="R48" s="9" t="inlineStr">
        <x:is>
          <x:t xml:space="preserve">None</x:t>
        </x:is>
      </x:c>
      <x:c r="S48" s="9" t="n"/>
      <x:c r="T48" s="17" t="n"/>
      <x:c r="U48" s="9" t="inlineStr">
        <x:is>
          <x:t xml:space="preserve">No action</x:t>
        </x:is>
      </x:c>
      <x:c r="V48" s="9" t="inlineStr">
        <x:is>
          <x:t xml:space="preserve">None</x:t>
        </x:is>
      </x:c>
      <x:c r="W48" s="9" t="inlineStr">
        <x:is>
          <x:t xml:space="preserve">Synthetic - CIE training only</x:t>
        </x:is>
      </x:c>
    </x:row>
    <x:row r="49">
      <x:c r="A49" s="9" t="inlineStr">
        <x:is>
          <x:t xml:space="preserve">TBR-0044</x:t>
        </x:is>
      </x:c>
      <x:c r="B49" s="9" t="inlineStr">
        <x:is>
          <x:t xml:space="preserve">Q3 2026</x:t>
        </x:is>
      </x:c>
      <x:c r="C49" s="9" t="inlineStr">
        <x:is>
          <x:t xml:space="preserve">Romania</x:t>
        </x:is>
      </x:c>
      <x:c r="D49" s="9" t="inlineStr">
        <x:is>
          <x:t xml:space="preserve">Convenience &amp; Fuel</x:t>
        </x:is>
      </x:c>
      <x:c r="E49" s="9" t="inlineStr">
        <x:is>
          <x:t xml:space="preserve">Falconridge Fuel &amp; Go (RO)</x:t>
        </x:is>
      </x:c>
      <x:c r="F49" s="9" t="inlineStr">
        <x:is>
          <x:t xml:space="preserve">Core</x:t>
        </x:is>
      </x:c>
      <x:c r="G49" s="9" t="inlineStr">
        <x:is>
          <x:t xml:space="preserve">Heated Products</x:t>
        </x:is>
      </x:c>
      <x:c r="H49" s="10" t="n">
        <x:v>355.5</x:v>
      </x:c>
      <x:c r="I49" s="10" t="n">
        <x:v>377.8</x:v>
      </x:c>
      <x:c r="J49" s="11" t="n">
        <x:v>0.06270000000000001</x:v>
      </x:c>
      <x:c r="K49" s="10" t="n">
        <x:v>205.4</x:v>
      </x:c>
      <x:c r="L49" s="10" t="n">
        <x:v>200.3</x:v>
      </x:c>
      <x:c r="M49" s="11" t="n">
        <x:v>-0.0248</x:v>
      </x:c>
      <x:c r="N49" s="10" t="n">
        <x:v>55.2</x:v>
      </x:c>
      <x:c r="O49" s="16" t="n">
        <x:v>0.8</x:v>
      </x:c>
      <x:c r="P49" s="9" t="inlineStr">
        <x:is>
          <x:t xml:space="preserve">Intensive</x:t>
        </x:is>
      </x:c>
      <x:c r="Q49" s="9" t="inlineStr">
        <x:is>
          <x:t xml:space="preserve">None</x:t>
        </x:is>
      </x:c>
      <x:c r="R49" s="9" t="inlineStr">
        <x:is>
          <x:t xml:space="preserve">None</x:t>
        </x:is>
      </x:c>
      <x:c r="S49" s="9" t="n"/>
      <x:c r="T49" s="17" t="n"/>
      <x:c r="U49" s="9" t="inlineStr">
        <x:is>
          <x:t xml:space="preserve">No action</x:t>
        </x:is>
      </x:c>
      <x:c r="V49" s="9" t="inlineStr">
        <x:is>
          <x:t xml:space="preserve">None</x:t>
        </x:is>
      </x:c>
      <x:c r="W49" s="9" t="inlineStr">
        <x:is>
          <x:t xml:space="preserve">Synthetic - CIE training only</x:t>
        </x:is>
      </x:c>
    </x:row>
    <x:row r="50">
      <x:c r="A50" s="9" t="inlineStr">
        <x:is>
          <x:t xml:space="preserve">TBR-0045</x:t>
        </x:is>
      </x:c>
      <x:c r="B50" s="9" t="inlineStr">
        <x:is>
          <x:t xml:space="preserve">Q3 2026</x:t>
        </x:is>
      </x:c>
      <x:c r="C50" s="9" t="inlineStr">
        <x:is>
          <x:t xml:space="preserve">Romania</x:t>
        </x:is>
      </x:c>
      <x:c r="D50" s="9" t="inlineStr">
        <x:is>
          <x:t xml:space="preserve">Convenience &amp; Fuel</x:t>
        </x:is>
      </x:c>
      <x:c r="E50" s="9" t="inlineStr">
        <x:is>
          <x:t xml:space="preserve">Brightwell Fuel &amp; Go (RO)</x:t>
        </x:is>
      </x:c>
      <x:c r="F50" s="9" t="inlineStr">
        <x:is>
          <x:t xml:space="preserve">Developing</x:t>
        </x:is>
      </x:c>
      <x:c r="G50" s="9" t="inlineStr">
        <x:is>
          <x:t xml:space="preserve">Modern Oral</x:t>
        </x:is>
      </x:c>
      <x:c r="H50" s="10" t="n">
        <x:v>297.9</x:v>
      </x:c>
      <x:c r="I50" s="10" t="n">
        <x:v>323.8</x:v>
      </x:c>
      <x:c r="J50" s="11" t="n">
        <x:v>0.08690000000000001</x:v>
      </x:c>
      <x:c r="K50" s="10" t="n">
        <x:v>143.3</x:v>
      </x:c>
      <x:c r="L50" s="10" t="n">
        <x:v>154</x:v>
      </x:c>
      <x:c r="M50" s="11" t="n">
        <x:v>0.0747</x:v>
      </x:c>
      <x:c r="N50" s="10" t="n">
        <x:v>60.8</x:v>
      </x:c>
      <x:c r="O50" s="16" t="n">
        <x:v>-0.4</x:v>
      </x:c>
      <x:c r="P50" s="9" t="inlineStr">
        <x:is>
          <x:t xml:space="preserve">Standard</x:t>
        </x:is>
      </x:c>
      <x:c r="Q50" s="9" t="inlineStr">
        <x:is>
          <x:t xml:space="preserve">None</x:t>
        </x:is>
      </x:c>
      <x:c r="R50" s="9" t="inlineStr">
        <x:is>
          <x:t xml:space="preserve">Update account plan for Q4</x:t>
        </x:is>
      </x:c>
      <x:c r="S50" s="9" t="inlineStr">
        <x:is>
          <x:t xml:space="preserve">Channel Manager - Convenience</x:t>
        </x:is>
      </x:c>
      <x:c r="T50" s="17" t="n">
        <x:v>46286</x:v>
      </x:c>
      <x:c r="U50" s="9" t="inlineStr">
        <x:is>
          <x:t xml:space="preserve">Closed</x:t>
        </x:is>
      </x:c>
      <x:c r="V50" s="9" t="inlineStr">
        <x:is>
          <x:t xml:space="preserve">None</x:t>
        </x:is>
      </x:c>
      <x:c r="W50" s="9" t="inlineStr">
        <x:is>
          <x:t xml:space="preserve">Synthetic - CIE training only</x:t>
        </x:is>
      </x:c>
    </x:row>
    <x:row r="51">
      <x:c r="A51" s="9" t="inlineStr">
        <x:is>
          <x:t xml:space="preserve">TBR-0046</x:t>
        </x:is>
      </x:c>
      <x:c r="B51" s="9" t="inlineStr">
        <x:is>
          <x:t xml:space="preserve">Q3 2026</x:t>
        </x:is>
      </x:c>
      <x:c r="C51" s="9" t="inlineStr">
        <x:is>
          <x:t xml:space="preserve">Romania</x:t>
        </x:is>
      </x:c>
      <x:c r="D51" s="9" t="inlineStr">
        <x:is>
          <x:t xml:space="preserve">Convenience &amp; Fuel</x:t>
        </x:is>
      </x:c>
      <x:c r="E51" s="9" t="inlineStr">
        <x:is>
          <x:t xml:space="preserve">Falconridge Fuel &amp; Go (RO)</x:t>
        </x:is>
      </x:c>
      <x:c r="F51" s="9" t="inlineStr">
        <x:is>
          <x:t xml:space="preserve">Strategic</x:t>
        </x:is>
      </x:c>
      <x:c r="G51" s="9" t="inlineStr">
        <x:is>
          <x:t xml:space="preserve">Combustibles</x:t>
        </x:is>
      </x:c>
      <x:c r="H51" s="10" t="n">
        <x:v>195.6</x:v>
      </x:c>
      <x:c r="I51" s="10" t="n">
        <x:v>198.1</x:v>
      </x:c>
      <x:c r="J51" s="11" t="n">
        <x:v>0.0128</x:v>
      </x:c>
      <x:c r="K51" s="10" t="n">
        <x:v>81.09999999999999</x:v>
      </x:c>
      <x:c r="L51" s="10" t="n">
        <x:v>82.5</x:v>
      </x:c>
      <x:c r="M51" s="11" t="n">
        <x:v>0.0173</x:v>
      </x:c>
      <x:c r="N51" s="10" t="n">
        <x:v>67.7</x:v>
      </x:c>
      <x:c r="O51" s="16" t="n">
        <x:v>-1.2</x:v>
      </x:c>
      <x:c r="P51" s="9" t="inlineStr">
        <x:is>
          <x:t xml:space="preserve">None</x:t>
        </x:is>
      </x:c>
      <x:c r="Q51" s="9" t="inlineStr">
        <x:is>
          <x:t xml:space="preserve">None</x:t>
        </x:is>
      </x:c>
      <x:c r="R51" s="9" t="inlineStr">
        <x:is>
          <x:t xml:space="preserve">None</x:t>
        </x:is>
      </x:c>
      <x:c r="S51" s="9" t="n"/>
      <x:c r="T51" s="17" t="n"/>
      <x:c r="U51" s="9" t="inlineStr">
        <x:is>
          <x:t xml:space="preserve">No action</x:t>
        </x:is>
      </x:c>
      <x:c r="V51" s="9" t="inlineStr">
        <x:is>
          <x:t xml:space="preserve">None</x:t>
        </x:is>
      </x:c>
      <x:c r="W51" s="9" t="inlineStr">
        <x:is>
          <x:t xml:space="preserve">Synthetic - CIE training only</x:t>
        </x:is>
      </x:c>
    </x:row>
    <x:row r="52">
      <x:c r="A52" s="9" t="inlineStr">
        <x:is>
          <x:t xml:space="preserve">TBR-0047</x:t>
        </x:is>
      </x:c>
      <x:c r="B52" s="9" t="inlineStr">
        <x:is>
          <x:t xml:space="preserve">Q3 2026</x:t>
        </x:is>
      </x:c>
      <x:c r="C52" s="9" t="inlineStr">
        <x:is>
          <x:t xml:space="preserve">Romania</x:t>
        </x:is>
      </x:c>
      <x:c r="D52" s="9" t="inlineStr">
        <x:is>
          <x:t xml:space="preserve">Convenience &amp; Fuel</x:t>
        </x:is>
      </x:c>
      <x:c r="E52" s="9" t="inlineStr">
        <x:is>
          <x:t xml:space="preserve">Brightwell Fuel &amp; Go (RO)</x:t>
        </x:is>
      </x:c>
      <x:c r="F52" s="9" t="inlineStr">
        <x:is>
          <x:t xml:space="preserve">Developing</x:t>
        </x:is>
      </x:c>
      <x:c r="G52" s="9" t="inlineStr">
        <x:is>
          <x:t xml:space="preserve">Heated Products</x:t>
        </x:is>
      </x:c>
      <x:c r="H52" s="10" t="n">
        <x:v>276</x:v>
      </x:c>
      <x:c r="I52" s="10" t="n">
        <x:v>274.1</x:v>
      </x:c>
      <x:c r="J52" s="11" t="n">
        <x:v>-0.0069</x:v>
      </x:c>
      <x:c r="K52" s="10" t="n">
        <x:v>163</x:v>
      </x:c>
      <x:c r="L52" s="10" t="n">
        <x:v>155</x:v>
      </x:c>
      <x:c r="M52" s="11" t="n">
        <x:v>-0.0491</x:v>
      </x:c>
      <x:c r="N52" s="10" t="n">
        <x:v>65.8</x:v>
      </x:c>
      <x:c r="O52" s="16" t="n">
        <x:v>0.3</x:v>
      </x:c>
      <x:c r="P52" s="9" t="inlineStr">
        <x:is>
          <x:t xml:space="preserve">Standard</x:t>
        </x:is>
      </x:c>
      <x:c r="Q52" s="9" t="inlineStr">
        <x:is>
          <x:t xml:space="preserve">Competitor new launch</x:t>
        </x:is>
      </x:c>
      <x:c r="R52" s="9" t="inlineStr">
        <x:is>
          <x:t xml:space="preserve">Assess shelf and range impact of competitor launch</x:t>
        </x:is>
      </x:c>
      <x:c r="S52" s="9" t="inlineStr">
        <x:is>
          <x:t xml:space="preserve">Channel Manager - Convenience</x:t>
        </x:is>
      </x:c>
      <x:c r="T52" s="17" t="n">
        <x:v>46294</x:v>
      </x:c>
      <x:c r="U52" s="9" t="inlineStr">
        <x:is>
          <x:t xml:space="preserve">Closed</x:t>
        </x:is>
      </x:c>
      <x:c r="V52" s="9" t="inlineStr">
        <x:is>
          <x:t xml:space="preserve">Portfolio</x:t>
        </x:is>
      </x:c>
      <x:c r="W52" s="9" t="inlineStr">
        <x:is>
          <x:t xml:space="preserve">Synthetic - CIE training only</x:t>
        </x:is>
      </x:c>
    </x:row>
    <x:row r="53">
      <x:c r="A53" s="9" t="inlineStr">
        <x:is>
          <x:t xml:space="preserve">TBR-0048</x:t>
        </x:is>
      </x:c>
      <x:c r="B53" s="9" t="inlineStr">
        <x:is>
          <x:t xml:space="preserve">Q3 2026</x:t>
        </x:is>
      </x:c>
      <x:c r="C53" s="9" t="inlineStr">
        <x:is>
          <x:t xml:space="preserve">Romania</x:t>
        </x:is>
      </x:c>
      <x:c r="D53" s="9" t="inlineStr">
        <x:is>
          <x:t xml:space="preserve">Convenience &amp; Fuel</x:t>
        </x:is>
      </x:c>
      <x:c r="E53" s="9" t="inlineStr">
        <x:is>
          <x:t xml:space="preserve">Falconridge Fuel &amp; Go (RO)</x:t>
        </x:is>
      </x:c>
      <x:c r="F53" s="9" t="inlineStr">
        <x:is>
          <x:t xml:space="preserve">Developing</x:t>
        </x:is>
      </x:c>
      <x:c r="G53" s="9" t="inlineStr">
        <x:is>
          <x:t xml:space="preserve">Heated Products</x:t>
        </x:is>
      </x:c>
      <x:c r="H53" s="10" t="n">
        <x:v>340.1</x:v>
      </x:c>
      <x:c r="I53" s="10" t="n">
        <x:v>349.1</x:v>
      </x:c>
      <x:c r="J53" s="11" t="n">
        <x:v>0.0265</x:v>
      </x:c>
      <x:c r="K53" s="10" t="n">
        <x:v>198.8</x:v>
      </x:c>
      <x:c r="L53" s="10" t="n">
        <x:v>206.2</x:v>
      </x:c>
      <x:c r="M53" s="11" t="n">
        <x:v>0.0372</x:v>
      </x:c>
      <x:c r="N53" s="10" t="n">
        <x:v>82.09999999999999</x:v>
      </x:c>
      <x:c r="O53" s="16" t="n">
        <x:v>-0.5</x:v>
      </x:c>
      <x:c r="P53" s="9" t="inlineStr">
        <x:is>
          <x:t xml:space="preserve">None</x:t>
        </x:is>
      </x:c>
      <x:c r="Q53" s="9" t="inlineStr">
        <x:is>
          <x:t xml:space="preserve">Competitor promotion</x:t>
        </x:is>
      </x:c>
      <x:c r="R53" s="9" t="inlineStr">
        <x:is>
          <x:t xml:space="preserve">Update account plan for Q4</x:t>
        </x:is>
      </x:c>
      <x:c r="S53" s="9" t="inlineStr">
        <x:is>
          <x:t xml:space="preserve">Channel Manager - Convenience</x:t>
        </x:is>
      </x:c>
      <x:c r="T53" s="17" t="n">
        <x:v>46282</x:v>
      </x:c>
      <x:c r="U53" s="9" t="inlineStr">
        <x:is>
          <x:t xml:space="preserve">Closed</x:t>
        </x:is>
      </x:c>
      <x:c r="V53" s="9" t="inlineStr">
        <x:is>
          <x:t xml:space="preserve">None</x:t>
        </x:is>
      </x:c>
      <x:c r="W53" s="9" t="inlineStr">
        <x:is>
          <x:t xml:space="preserve">Synthetic - CIE training only</x:t>
        </x:is>
      </x:c>
    </x:row>
    <x:row r="54">
      <x:c r="A54" s="9" t="inlineStr">
        <x:is>
          <x:t xml:space="preserve">TBR-0049</x:t>
        </x:is>
      </x:c>
      <x:c r="B54" s="9" t="inlineStr">
        <x:is>
          <x:t xml:space="preserve">Q3 2026</x:t>
        </x:is>
      </x:c>
      <x:c r="C54" s="9" t="inlineStr">
        <x:is>
          <x:t xml:space="preserve">Romania</x:t>
        </x:is>
      </x:c>
      <x:c r="D54" s="9" t="inlineStr">
        <x:is>
          <x:t xml:space="preserve">Convenience &amp; Fuel</x:t>
        </x:is>
      </x:c>
      <x:c r="E54" s="9" t="inlineStr">
        <x:is>
          <x:t xml:space="preserve">Brightwell Fuel &amp; Go (RO)</x:t>
        </x:is>
      </x:c>
      <x:c r="F54" s="9" t="inlineStr">
        <x:is>
          <x:t xml:space="preserve">Core</x:t>
        </x:is>
      </x:c>
      <x:c r="G54" s="9" t="inlineStr">
        <x:is>
          <x:t xml:space="preserve">Heated Products</x:t>
        </x:is>
      </x:c>
      <x:c r="H54" s="10" t="n">
        <x:v>393.3</x:v>
      </x:c>
      <x:c r="I54" s="10" t="n">
        <x:v>397.2</x:v>
      </x:c>
      <x:c r="J54" s="11" t="n">
        <x:v>0.009900000000000001</x:v>
      </x:c>
      <x:c r="K54" s="10" t="n">
        <x:v>226.3</x:v>
      </x:c>
      <x:c r="L54" s="10" t="n">
        <x:v>225.2</x:v>
      </x:c>
      <x:c r="M54" s="11" t="n">
        <x:v>-0.0049</x:v>
      </x:c>
      <x:c r="N54" s="10" t="n">
        <x:v>83.59999999999999</x:v>
      </x:c>
      <x:c r="O54" s="16" t="n">
        <x:v>0.5</x:v>
      </x:c>
      <x:c r="P54" s="9" t="inlineStr">
        <x:is>
          <x:t xml:space="preserve">Standard</x:t>
        </x:is>
      </x:c>
      <x:c r="Q54" s="9" t="inlineStr">
        <x:is>
          <x:t xml:space="preserve">Competitor promotion</x:t>
        </x:is>
      </x:c>
      <x:c r="R54" s="9" t="inlineStr">
        <x:is>
          <x:t xml:space="preserve">Confirm Q4 visit plan and in-store execution checks</x:t>
        </x:is>
      </x:c>
      <x:c r="S54" s="9" t="inlineStr">
        <x:is>
          <x:t xml:space="preserve">Channel Manager - Convenience</x:t>
        </x:is>
      </x:c>
      <x:c r="T54" s="17" t="n">
        <x:v>46313</x:v>
      </x:c>
      <x:c r="U54" s="9" t="inlineStr">
        <x:is>
          <x:t xml:space="preserve">On track</x:t>
        </x:is>
      </x:c>
      <x:c r="V54" s="9" t="inlineStr">
        <x:is>
          <x:t xml:space="preserve">None</x:t>
        </x:is>
      </x:c>
      <x:c r="W54" s="9" t="inlineStr">
        <x:is>
          <x:t xml:space="preserve">Synthetic - CIE training only</x:t>
        </x:is>
      </x:c>
    </x:row>
    <x:row r="55">
      <x:c r="A55" s="9" t="inlineStr">
        <x:is>
          <x:t xml:space="preserve">TBR-0050</x:t>
        </x:is>
      </x:c>
      <x:c r="B55" s="9" t="inlineStr">
        <x:is>
          <x:t xml:space="preserve">Q3 2026</x:t>
        </x:is>
      </x:c>
      <x:c r="C55" s="9" t="inlineStr">
        <x:is>
          <x:t xml:space="preserve">Romania</x:t>
        </x:is>
      </x:c>
      <x:c r="D55" s="9" t="inlineStr">
        <x:is>
          <x:t xml:space="preserve">Wholesale</x:t>
        </x:is>
      </x:c>
      <x:c r="E55" s="9" t="inlineStr">
        <x:is>
          <x:t xml:space="preserve">Greenmarch Wholesale (RO)</x:t>
        </x:is>
      </x:c>
      <x:c r="F55" s="9" t="inlineStr">
        <x:is>
          <x:t xml:space="preserve">Developing</x:t>
        </x:is>
      </x:c>
      <x:c r="G55" s="9" t="inlineStr">
        <x:is>
          <x:t xml:space="preserve">Vapour</x:t>
        </x:is>
      </x:c>
      <x:c r="H55" s="10" t="n">
        <x:v>459.1</x:v>
      </x:c>
      <x:c r="I55" s="10" t="n">
        <x:v>490.8</x:v>
      </x:c>
      <x:c r="J55" s="11" t="n">
        <x:v>0.06900000000000001</x:v>
      </x:c>
      <x:c r="K55" s="10" t="n">
        <x:v>248.9</x:v>
      </x:c>
      <x:c r="L55" s="10" t="n">
        <x:v>263.5</x:v>
      </x:c>
      <x:c r="M55" s="11" t="n">
        <x:v>0.0587</x:v>
      </x:c>
      <x:c r="N55" s="10" t="n">
        <x:v>82.40000000000001</x:v>
      </x:c>
      <x:c r="O55" s="16" t="n">
        <x:v>1.3</x:v>
      </x:c>
      <x:c r="P55" s="9" t="inlineStr">
        <x:is>
          <x:t xml:space="preserve">Standard</x:t>
        </x:is>
      </x:c>
      <x:c r="Q55" s="9" t="inlineStr">
        <x:is>
          <x:t xml:space="preserve">Display space lost</x:t>
        </x:is>
      </x:c>
      <x:c r="R55" s="9" t="inlineStr">
        <x:is>
          <x:t xml:space="preserve">Agree display recovery plan with account (no terms committed)</x:t>
        </x:is>
      </x:c>
      <x:c r="S55" s="9" t="inlineStr">
        <x:is>
          <x:t xml:space="preserve">Distributor Development Manager</x:t>
        </x:is>
      </x:c>
      <x:c r="T55" s="17" t="n">
        <x:v>46367</x:v>
      </x:c>
      <x:c r="U55" s="9" t="inlineStr">
        <x:is>
          <x:t xml:space="preserve">On track</x:t>
        </x:is>
      </x:c>
      <x:c r="V55" s="9" t="inlineStr">
        <x:is>
          <x:t xml:space="preserve">Customer terms</x:t>
        </x:is>
      </x:c>
      <x:c r="W55" s="9" t="inlineStr">
        <x:is>
          <x:t xml:space="preserve">Synthetic - CIE training only</x:t>
        </x:is>
      </x:c>
    </x:row>
    <x:row r="56">
      <x:c r="A56" s="9" t="inlineStr">
        <x:is>
          <x:t xml:space="preserve">TBR-0051</x:t>
        </x:is>
      </x:c>
      <x:c r="B56" s="9" t="inlineStr">
        <x:is>
          <x:t xml:space="preserve">Q3 2026</x:t>
        </x:is>
      </x:c>
      <x:c r="C56" s="9" t="inlineStr">
        <x:is>
          <x:t xml:space="preserve">Romania</x:t>
        </x:is>
      </x:c>
      <x:c r="D56" s="9" t="inlineStr">
        <x:is>
          <x:t xml:space="preserve">Wholesale</x:t>
        </x:is>
      </x:c>
      <x:c r="E56" s="9" t="inlineStr">
        <x:is>
          <x:t xml:space="preserve">Ironvale Wholesale (RO)</x:t>
        </x:is>
      </x:c>
      <x:c r="F56" s="9" t="inlineStr">
        <x:is>
          <x:t xml:space="preserve">Strategic</x:t>
        </x:is>
      </x:c>
      <x:c r="G56" s="9" t="inlineStr">
        <x:is>
          <x:t xml:space="preserve">Heated Products</x:t>
        </x:is>
      </x:c>
      <x:c r="H56" s="10" t="n">
        <x:v>348.4</x:v>
      </x:c>
      <x:c r="I56" s="10" t="n">
        <x:v>363.8</x:v>
      </x:c>
      <x:c r="J56" s="11" t="n">
        <x:v>0.0442</x:v>
      </x:c>
      <x:c r="K56" s="10" t="n">
        <x:v>218.4</x:v>
      </x:c>
      <x:c r="L56" s="10" t="n">
        <x:v>230.1</x:v>
      </x:c>
      <x:c r="M56" s="11" t="n">
        <x:v>0.0536</x:v>
      </x:c>
      <x:c r="N56" s="10" t="n">
        <x:v>62</x:v>
      </x:c>
      <x:c r="O56" s="16" t="n">
        <x:v>0.2</x:v>
      </x:c>
      <x:c r="P56" s="9" t="inlineStr">
        <x:is>
          <x:t xml:space="preserve">Standard</x:t>
        </x:is>
      </x:c>
      <x:c r="Q56" s="9" t="inlineStr">
        <x:is>
          <x:t xml:space="preserve">None</x:t>
        </x:is>
      </x:c>
      <x:c r="R56" s="9" t="inlineStr">
        <x:is>
          <x:t xml:space="preserve">None</x:t>
        </x:is>
      </x:c>
      <x:c r="S56" s="9" t="n"/>
      <x:c r="T56" s="17" t="n"/>
      <x:c r="U56" s="9" t="inlineStr">
        <x:is>
          <x:t xml:space="preserve">No action</x:t>
        </x:is>
      </x:c>
      <x:c r="V56" s="9" t="inlineStr">
        <x:is>
          <x:t xml:space="preserve">None</x:t>
        </x:is>
      </x:c>
      <x:c r="W56" s="9" t="inlineStr">
        <x:is>
          <x:t xml:space="preserve">Synthetic - CIE training only</x:t>
        </x:is>
      </x:c>
    </x:row>
    <x:row r="57">
      <x:c r="A57" s="9" t="inlineStr">
        <x:is>
          <x:t xml:space="preserve">TBR-0052</x:t>
        </x:is>
      </x:c>
      <x:c r="B57" s="9" t="inlineStr">
        <x:is>
          <x:t xml:space="preserve">Q3 2026</x:t>
        </x:is>
      </x:c>
      <x:c r="C57" s="9" t="inlineStr">
        <x:is>
          <x:t xml:space="preserve">Romania</x:t>
        </x:is>
      </x:c>
      <x:c r="D57" s="9" t="inlineStr">
        <x:is>
          <x:t xml:space="preserve">Wholesale</x:t>
        </x:is>
      </x:c>
      <x:c r="E57" s="9" t="inlineStr">
        <x:is>
          <x:t xml:space="preserve">Greenmarch Wholesale (RO)</x:t>
        </x:is>
      </x:c>
      <x:c r="F57" s="9" t="inlineStr">
        <x:is>
          <x:t xml:space="preserve">Core</x:t>
        </x:is>
      </x:c>
      <x:c r="G57" s="9" t="inlineStr">
        <x:is>
          <x:t xml:space="preserve">Modern Oral</x:t>
        </x:is>
      </x:c>
      <x:c r="H57" s="10" t="n">
        <x:v>609</x:v>
      </x:c>
      <x:c r="I57" s="10" t="n">
        <x:v>651.7</x:v>
      </x:c>
      <x:c r="J57" s="11" t="n">
        <x:v>0.0701</x:v>
      </x:c>
      <x:c r="K57" s="10" t="n">
        <x:v>298</x:v>
      </x:c>
      <x:c r="L57" s="10" t="n">
        <x:v>314.5</x:v>
      </x:c>
      <x:c r="M57" s="11" t="n">
        <x:v>0.0554</x:v>
      </x:c>
      <x:c r="N57" s="10" t="n">
        <x:v>62.6</x:v>
      </x:c>
      <x:c r="O57" s="16" t="n">
        <x:v>0.5</x:v>
      </x:c>
      <x:c r="P57" s="9" t="inlineStr">
        <x:is>
          <x:t xml:space="preserve">None</x:t>
        </x:is>
      </x:c>
      <x:c r="Q57" s="9" t="inlineStr">
        <x:is>
          <x:t xml:space="preserve">None</x:t>
        </x:is>
      </x:c>
      <x:c r="R57" s="9" t="inlineStr">
        <x:is>
          <x:t xml:space="preserve">None</x:t>
        </x:is>
      </x:c>
      <x:c r="S57" s="9" t="n"/>
      <x:c r="T57" s="17" t="n"/>
      <x:c r="U57" s="9" t="inlineStr">
        <x:is>
          <x:t xml:space="preserve">No action</x:t>
        </x:is>
      </x:c>
      <x:c r="V57" s="9" t="inlineStr">
        <x:is>
          <x:t xml:space="preserve">None</x:t>
        </x:is>
      </x:c>
      <x:c r="W57" s="9" t="inlineStr">
        <x:is>
          <x:t xml:space="preserve">Synthetic - CIE training only</x:t>
        </x:is>
      </x:c>
    </x:row>
    <x:row r="58">
      <x:c r="A58" s="9" t="inlineStr">
        <x:is>
          <x:t xml:space="preserve">TBR-0053</x:t>
        </x:is>
      </x:c>
      <x:c r="B58" s="9" t="inlineStr">
        <x:is>
          <x:t xml:space="preserve">Q3 2026</x:t>
        </x:is>
      </x:c>
      <x:c r="C58" s="9" t="inlineStr">
        <x:is>
          <x:t xml:space="preserve">Romania</x:t>
        </x:is>
      </x:c>
      <x:c r="D58" s="9" t="inlineStr">
        <x:is>
          <x:t xml:space="preserve">Wholesale</x:t>
        </x:is>
      </x:c>
      <x:c r="E58" s="9" t="inlineStr">
        <x:is>
          <x:t xml:space="preserve">Ironvale Wholesale (RO)</x:t>
        </x:is>
      </x:c>
      <x:c r="F58" s="9" t="inlineStr">
        <x:is>
          <x:t xml:space="preserve">Core</x:t>
        </x:is>
      </x:c>
      <x:c r="G58" s="9" t="inlineStr">
        <x:is>
          <x:t xml:space="preserve">Combustibles</x:t>
        </x:is>
      </x:c>
      <x:c r="H58" s="10" t="n">
        <x:v>468.9</x:v>
      </x:c>
      <x:c r="I58" s="10" t="n">
        <x:v>481.2</x:v>
      </x:c>
      <x:c r="J58" s="11" t="n">
        <x:v>0.0262</x:v>
      </x:c>
      <x:c r="K58" s="10" t="n">
        <x:v>189.4</x:v>
      </x:c>
      <x:c r="L58" s="10" t="n">
        <x:v>191.1</x:v>
      </x:c>
      <x:c r="M58" s="11" t="n">
        <x:v>0.008999999999999999</x:v>
      </x:c>
      <x:c r="N58" s="10" t="n">
        <x:v>72.90000000000001</x:v>
      </x:c>
      <x:c r="O58" s="16" t="n">
        <x:v>-0.1</x:v>
      </x:c>
      <x:c r="P58" s="9" t="inlineStr">
        <x:is>
          <x:t xml:space="preserve">None</x:t>
        </x:is>
      </x:c>
      <x:c r="Q58" s="9" t="inlineStr">
        <x:is>
          <x:t xml:space="preserve">None</x:t>
        </x:is>
      </x:c>
      <x:c r="R58" s="9" t="inlineStr">
        <x:is>
          <x:t xml:space="preserve">Confirm Q4 visit plan and in-store execution checks</x:t>
        </x:is>
      </x:c>
      <x:c r="S58" s="9" t="inlineStr">
        <x:is>
          <x:t xml:space="preserve">Distributor Development Manager</x:t>
        </x:is>
      </x:c>
      <x:c r="T58" s="17" t="n">
        <x:v>46367</x:v>
      </x:c>
      <x:c r="U58" s="9" t="inlineStr">
        <x:is>
          <x:t xml:space="preserve">Not started</x:t>
        </x:is>
      </x:c>
      <x:c r="V58" s="9" t="inlineStr">
        <x:is>
          <x:t xml:space="preserve">None</x:t>
        </x:is>
      </x:c>
      <x:c r="W58" s="9" t="inlineStr">
        <x:is>
          <x:t xml:space="preserve">Synthetic - CIE training only</x:t>
        </x:is>
      </x:c>
    </x:row>
    <x:row r="59">
      <x:c r="A59" s="9" t="inlineStr">
        <x:is>
          <x:t xml:space="preserve">TBR-0054</x:t>
        </x:is>
      </x:c>
      <x:c r="B59" s="9" t="inlineStr">
        <x:is>
          <x:t xml:space="preserve">Q3 2026</x:t>
        </x:is>
      </x:c>
      <x:c r="C59" s="9" t="inlineStr">
        <x:is>
          <x:t xml:space="preserve">Romania</x:t>
        </x:is>
      </x:c>
      <x:c r="D59" s="9" t="inlineStr">
        <x:is>
          <x:t xml:space="preserve">Wholesale</x:t>
        </x:is>
      </x:c>
      <x:c r="E59" s="9" t="inlineStr">
        <x:is>
          <x:t xml:space="preserve">Greenmarch Wholesale (RO)</x:t>
        </x:is>
      </x:c>
      <x:c r="F59" s="9" t="inlineStr">
        <x:is>
          <x:t xml:space="preserve">Developing</x:t>
        </x:is>
      </x:c>
      <x:c r="G59" s="9" t="inlineStr">
        <x:is>
          <x:t xml:space="preserve">Heated Products</x:t>
        </x:is>
      </x:c>
      <x:c r="H59" s="10" t="n">
        <x:v>457.2</x:v>
      </x:c>
      <x:c r="I59" s="10" t="n">
        <x:v>461.3</x:v>
      </x:c>
      <x:c r="J59" s="11" t="n">
        <x:v>0.008999999999999999</x:v>
      </x:c>
      <x:c r="K59" s="10" t="n">
        <x:v>275.2</x:v>
      </x:c>
      <x:c r="L59" s="10" t="n">
        <x:v>279.8</x:v>
      </x:c>
      <x:c r="M59" s="11" t="n">
        <x:v>0.0167</x:v>
      </x:c>
      <x:c r="N59" s="10" t="n">
        <x:v>60.8</x:v>
      </x:c>
      <x:c r="O59" s="16" t="n">
        <x:v>0.9</x:v>
      </x:c>
      <x:c r="P59" s="9" t="inlineStr">
        <x:is>
          <x:t xml:space="preserve">None</x:t>
        </x:is>
      </x:c>
      <x:c r="Q59" s="9" t="inlineStr">
        <x:is>
          <x:t xml:space="preserve">None</x:t>
        </x:is>
      </x:c>
      <x:c r="R59" s="9" t="inlineStr">
        <x:is>
          <x:t xml:space="preserve">None</x:t>
        </x:is>
      </x:c>
      <x:c r="S59" s="9" t="n"/>
      <x:c r="T59" s="17" t="n"/>
      <x:c r="U59" s="9" t="inlineStr">
        <x:is>
          <x:t xml:space="preserve">No action</x:t>
        </x:is>
      </x:c>
      <x:c r="V59" s="9" t="inlineStr">
        <x:is>
          <x:t xml:space="preserve">None</x:t>
        </x:is>
      </x:c>
      <x:c r="W59" s="9" t="inlineStr">
        <x:is>
          <x:t xml:space="preserve">Synthetic - CIE training only</x:t>
        </x:is>
      </x:c>
    </x:row>
    <x:row r="60">
      <x:c r="A60" s="9" t="inlineStr">
        <x:is>
          <x:t xml:space="preserve">TBR-0055</x:t>
        </x:is>
      </x:c>
      <x:c r="B60" s="9" t="inlineStr">
        <x:is>
          <x:t xml:space="preserve">Q3 2026</x:t>
        </x:is>
      </x:c>
      <x:c r="C60" s="9" t="inlineStr">
        <x:is>
          <x:t xml:space="preserve">Romania</x:t>
        </x:is>
      </x:c>
      <x:c r="D60" s="9" t="inlineStr">
        <x:is>
          <x:t xml:space="preserve">Wholesale</x:t>
        </x:is>
      </x:c>
      <x:c r="E60" s="9" t="inlineStr">
        <x:is>
          <x:t xml:space="preserve">Ironvale Wholesale (RO)</x:t>
        </x:is>
      </x:c>
      <x:c r="F60" s="9" t="inlineStr">
        <x:is>
          <x:t xml:space="preserve">Developing</x:t>
        </x:is>
      </x:c>
      <x:c r="G60" s="9" t="inlineStr">
        <x:is>
          <x:t xml:space="preserve">Combustibles</x:t>
        </x:is>
      </x:c>
      <x:c r="H60" s="10" t="n">
        <x:v>360.7</x:v>
      </x:c>
      <x:c r="I60" s="10" t="n">
        <x:v>368.4</x:v>
      </x:c>
      <x:c r="J60" s="11" t="n">
        <x:v>0.0213</x:v>
      </x:c>
      <x:c r="K60" s="10" t="n">
        <x:v>144.6</x:v>
      </x:c>
      <x:c r="L60" s="10" t="n">
        <x:v>137.6</x:v>
      </x:c>
      <x:c r="M60" s="11" t="n">
        <x:v>-0.0484</x:v>
      </x:c>
      <x:c r="N60" s="10" t="n">
        <x:v>84.40000000000001</x:v>
      </x:c>
      <x:c r="O60" s="16" t="n">
        <x:v>0.6</x:v>
      </x:c>
      <x:c r="P60" s="9" t="inlineStr">
        <x:is>
          <x:t xml:space="preserve">Intensive</x:t>
        </x:is>
      </x:c>
      <x:c r="Q60" s="9" t="inlineStr">
        <x:is>
          <x:t xml:space="preserve">Display space lost</x:t>
        </x:is>
      </x:c>
      <x:c r="R60" s="9" t="inlineStr">
        <x:is>
          <x:t xml:space="preserve">Agree display recovery plan with account (no terms committed)</x:t>
        </x:is>
      </x:c>
      <x:c r="S60" s="9" t="inlineStr">
        <x:is>
          <x:t xml:space="preserve">Distributor Development Manager</x:t>
        </x:is>
      </x:c>
      <x:c r="T60" s="17" t="n">
        <x:v>46317</x:v>
      </x:c>
      <x:c r="U60" s="9" t="inlineStr">
        <x:is>
          <x:t xml:space="preserve">On track</x:t>
        </x:is>
      </x:c>
      <x:c r="V60" s="9" t="inlineStr">
        <x:is>
          <x:t xml:space="preserve">Customer terms</x:t>
        </x:is>
      </x:c>
      <x:c r="W60" s="9" t="inlineStr">
        <x:is>
          <x:t xml:space="preserve">Synthetic - CIE training only</x:t>
        </x:is>
      </x:c>
    </x:row>
    <x:row r="61">
      <x:c r="A61" s="9" t="inlineStr">
        <x:is>
          <x:t xml:space="preserve">TBR-0056</x:t>
        </x:is>
      </x:c>
      <x:c r="B61" s="9" t="inlineStr">
        <x:is>
          <x:t xml:space="preserve">Q3 2026</x:t>
        </x:is>
      </x:c>
      <x:c r="C61" s="9" t="inlineStr">
        <x:is>
          <x:t xml:space="preserve">Romania</x:t>
        </x:is>
      </x:c>
      <x:c r="D61" s="9" t="inlineStr">
        <x:is>
          <x:t xml:space="preserve">Wholesale</x:t>
        </x:is>
      </x:c>
      <x:c r="E61" s="9" t="inlineStr">
        <x:is>
          <x:t xml:space="preserve">Greenmarch Wholesale (RO)</x:t>
        </x:is>
      </x:c>
      <x:c r="F61" s="9" t="inlineStr">
        <x:is>
          <x:t xml:space="preserve">Developing</x:t>
        </x:is>
      </x:c>
      <x:c r="G61" s="9" t="inlineStr">
        <x:is>
          <x:t xml:space="preserve">Heated Products</x:t>
        </x:is>
      </x:c>
      <x:c r="H61" s="10" t="n">
        <x:v>503.9</x:v>
      </x:c>
      <x:c r="I61" s="10" t="n">
        <x:v>503.9</x:v>
      </x:c>
      <x:c r="J61" s="11" t="n">
        <x:v>0</x:v>
      </x:c>
      <x:c r="K61" s="10" t="n">
        <x:v>305.7</x:v>
      </x:c>
      <x:c r="L61" s="10" t="n">
        <x:v>304.1</x:v>
      </x:c>
      <x:c r="M61" s="11" t="n">
        <x:v>-0.0052</x:v>
      </x:c>
      <x:c r="N61" s="10" t="n">
        <x:v>75.3</x:v>
      </x:c>
      <x:c r="O61" s="16" t="n">
        <x:v>0.4</x:v>
      </x:c>
      <x:c r="P61" s="9" t="inlineStr">
        <x:is>
          <x:t xml:space="preserve">None</x:t>
        </x:is>
      </x:c>
      <x:c r="Q61" s="9" t="inlineStr">
        <x:is>
          <x:t xml:space="preserve">None</x:t>
        </x:is>
      </x:c>
      <x:c r="R61" s="9" t="inlineStr">
        <x:is>
          <x:t xml:space="preserve">Update account plan for Q4</x:t>
        </x:is>
      </x:c>
      <x:c r="S61" s="9" t="inlineStr">
        <x:is>
          <x:t xml:space="preserve">Distributor Development Manager</x:t>
        </x:is>
      </x:c>
      <x:c r="T61" s="17" t="n">
        <x:v>46348</x:v>
      </x:c>
      <x:c r="U61" s="9" t="inlineStr">
        <x:is>
          <x:t xml:space="preserve">Closed</x:t>
        </x:is>
      </x:c>
      <x:c r="V61" s="9" t="inlineStr">
        <x:is>
          <x:t xml:space="preserve">None</x:t>
        </x:is>
      </x:c>
      <x:c r="W61" s="9" t="inlineStr">
        <x:is>
          <x:t xml:space="preserve">Synthetic - CIE training only</x:t>
        </x:is>
      </x:c>
    </x:row>
    <x:row r="62">
      <x:c r="A62" s="9" t="inlineStr">
        <x:is>
          <x:t xml:space="preserve">TBR-0057</x:t>
        </x:is>
      </x:c>
      <x:c r="B62" s="9" t="inlineStr">
        <x:is>
          <x:t xml:space="preserve">Q3 2026</x:t>
        </x:is>
      </x:c>
      <x:c r="C62" s="9" t="inlineStr">
        <x:is>
          <x:t xml:space="preserve">Hungary</x:t>
        </x:is>
      </x:c>
      <x:c r="D62" s="9" t="inlineStr">
        <x:is>
          <x:t xml:space="preserve">Key Accounts</x:t>
        </x:is>
      </x:c>
      <x:c r="E62" s="9" t="inlineStr">
        <x:is>
          <x:t xml:space="preserve">Juniper Retail Group (HU)</x:t>
        </x:is>
      </x:c>
      <x:c r="F62" s="9" t="inlineStr">
        <x:is>
          <x:t xml:space="preserve">Strategic</x:t>
        </x:is>
      </x:c>
      <x:c r="G62" s="9" t="inlineStr">
        <x:is>
          <x:t xml:space="preserve">Heated Products</x:t>
        </x:is>
      </x:c>
      <x:c r="H62" s="10" t="n">
        <x:v>582.3</x:v>
      </x:c>
      <x:c r="I62" s="10" t="n">
        <x:v>636.1</x:v>
      </x:c>
      <x:c r="J62" s="11" t="n">
        <x:v>0.0924</x:v>
      </x:c>
      <x:c r="K62" s="10" t="n">
        <x:v>359.3</x:v>
      </x:c>
      <x:c r="L62" s="10" t="n">
        <x:v>390.8</x:v>
      </x:c>
      <x:c r="M62" s="11" t="n">
        <x:v>0.0877</x:v>
      </x:c>
      <x:c r="N62" s="10" t="n">
        <x:v>83</x:v>
      </x:c>
      <x:c r="O62" s="16" t="n">
        <x:v>4</x:v>
      </x:c>
      <x:c r="P62" s="9" t="inlineStr">
        <x:is>
          <x:t xml:space="preserve">Standard</x:t>
        </x:is>
      </x:c>
      <x:c r="Q62" s="9" t="inlineStr">
        <x:is>
          <x:t xml:space="preserve">None</x:t>
        </x:is>
      </x:c>
      <x:c r="R62" s="9" t="inlineStr">
        <x:is>
          <x:t xml:space="preserve">Confirm Q4 visit plan and in-store execution checks</x:t>
        </x:is>
      </x:c>
      <x:c r="S62" s="9" t="inlineStr">
        <x:is>
          <x:t xml:space="preserve">Key Account Manager</x:t>
        </x:is>
      </x:c>
      <x:c r="T62" s="17" t="n">
        <x:v>46360</x:v>
      </x:c>
      <x:c r="U62" s="9" t="inlineStr">
        <x:is>
          <x:t xml:space="preserve">Closed</x:t>
        </x:is>
      </x:c>
      <x:c r="V62" s="9" t="inlineStr">
        <x:is>
          <x:t xml:space="preserve">None</x:t>
        </x:is>
      </x:c>
      <x:c r="W62" s="9" t="inlineStr">
        <x:is>
          <x:t xml:space="preserve">Synthetic - CIE training only</x:t>
        </x:is>
      </x:c>
    </x:row>
    <x:row r="63">
      <x:c r="A63" s="9" t="inlineStr">
        <x:is>
          <x:t xml:space="preserve">TBR-0058</x:t>
        </x:is>
      </x:c>
      <x:c r="B63" s="9" t="inlineStr">
        <x:is>
          <x:t xml:space="preserve">Q3 2026</x:t>
        </x:is>
      </x:c>
      <x:c r="C63" s="9" t="inlineStr">
        <x:is>
          <x:t xml:space="preserve">Hungary</x:t>
        </x:is>
      </x:c>
      <x:c r="D63" s="9" t="inlineStr">
        <x:is>
          <x:t xml:space="preserve">Key Accounts</x:t>
        </x:is>
      </x:c>
      <x:c r="E63" s="9" t="inlineStr">
        <x:is>
          <x:t xml:space="preserve">Marlow Retail Group (HU)</x:t>
        </x:is>
      </x:c>
      <x:c r="F63" s="9" t="inlineStr">
        <x:is>
          <x:t xml:space="preserve">Strategic</x:t>
        </x:is>
      </x:c>
      <x:c r="G63" s="9" t="inlineStr">
        <x:is>
          <x:t xml:space="preserve">Modern Oral</x:t>
        </x:is>
      </x:c>
      <x:c r="H63" s="10" t="n">
        <x:v>487.8</x:v>
      </x:c>
      <x:c r="I63" s="10" t="n">
        <x:v>578.4</x:v>
      </x:c>
      <x:c r="J63" s="11" t="n">
        <x:v>0.1857</x:v>
      </x:c>
      <x:c r="K63" s="10" t="n">
        <x:v>243.2</x:v>
      </x:c>
      <x:c r="L63" s="10" t="n">
        <x:v>283</x:v>
      </x:c>
      <x:c r="M63" s="11" t="n">
        <x:v>0.1637</x:v>
      </x:c>
      <x:c r="N63" s="10" t="n">
        <x:v>82.7</x:v>
      </x:c>
      <x:c r="O63" s="16" t="n">
        <x:v>3.3</x:v>
      </x:c>
      <x:c r="P63" s="9" t="inlineStr">
        <x:is>
          <x:t xml:space="preserve">Standard</x:t>
        </x:is>
      </x:c>
      <x:c r="Q63" s="9" t="inlineStr">
        <x:is>
          <x:t xml:space="preserve">Competitor new launch</x:t>
        </x:is>
      </x:c>
      <x:c r="R63" s="9" t="inlineStr">
        <x:is>
          <x:t xml:space="preserve">Assess shelf and range impact of competitor launch</x:t>
        </x:is>
      </x:c>
      <x:c r="S63" s="9" t="inlineStr">
        <x:is>
          <x:t xml:space="preserve">Key Account Manager</x:t>
        </x:is>
      </x:c>
      <x:c r="T63" s="17" t="n">
        <x:v>46360</x:v>
      </x:c>
      <x:c r="U63" s="9" t="inlineStr">
        <x:is>
          <x:t xml:space="preserve">Not started</x:t>
        </x:is>
      </x:c>
      <x:c r="V63" s="9" t="inlineStr">
        <x:is>
          <x:t xml:space="preserve">Portfolio</x:t>
        </x:is>
      </x:c>
      <x:c r="W63" s="9" t="inlineStr">
        <x:is>
          <x:t xml:space="preserve">Synthetic - CIE training only</x:t>
        </x:is>
      </x:c>
    </x:row>
    <x:row r="64">
      <x:c r="A64" s="9" t="inlineStr">
        <x:is>
          <x:t xml:space="preserve">TBR-0059</x:t>
        </x:is>
      </x:c>
      <x:c r="B64" s="9" t="inlineStr">
        <x:is>
          <x:t xml:space="preserve">Q3 2026</x:t>
        </x:is>
      </x:c>
      <x:c r="C64" s="9" t="inlineStr">
        <x:is>
          <x:t xml:space="preserve">Hungary</x:t>
        </x:is>
      </x:c>
      <x:c r="D64" s="9" t="inlineStr">
        <x:is>
          <x:t xml:space="preserve">Key Accounts</x:t>
        </x:is>
      </x:c>
      <x:c r="E64" s="9" t="inlineStr">
        <x:is>
          <x:t xml:space="preserve">Juniper Retail Group (HU)</x:t>
        </x:is>
      </x:c>
      <x:c r="F64" s="9" t="inlineStr">
        <x:is>
          <x:t xml:space="preserve">Strategic</x:t>
        </x:is>
      </x:c>
      <x:c r="G64" s="9" t="inlineStr">
        <x:is>
          <x:t xml:space="preserve">Combustibles</x:t>
        </x:is>
      </x:c>
      <x:c r="H64" s="10" t="n">
        <x:v>379.1</x:v>
      </x:c>
      <x:c r="I64" s="10" t="n">
        <x:v>384.5</x:v>
      </x:c>
      <x:c r="J64" s="11" t="n">
        <x:v>0.0142</x:v>
      </x:c>
      <x:c r="K64" s="10" t="n">
        <x:v>154.3</x:v>
      </x:c>
      <x:c r="L64" s="10" t="n">
        <x:v>155</x:v>
      </x:c>
      <x:c r="M64" s="11" t="n">
        <x:v>0.0045</x:v>
      </x:c>
      <x:c r="N64" s="10" t="n">
        <x:v>83.90000000000001</x:v>
      </x:c>
      <x:c r="O64" s="16" t="n">
        <x:v>3.8</x:v>
      </x:c>
      <x:c r="P64" s="9" t="inlineStr">
        <x:is>
          <x:t xml:space="preserve">None</x:t>
        </x:is>
      </x:c>
      <x:c r="Q64" s="9" t="inlineStr">
        <x:is>
          <x:t xml:space="preserve">None</x:t>
        </x:is>
      </x:c>
      <x:c r="R64" s="9" t="inlineStr">
        <x:is>
          <x:t xml:space="preserve">None</x:t>
        </x:is>
      </x:c>
      <x:c r="S64" s="9" t="n"/>
      <x:c r="T64" s="17" t="n"/>
      <x:c r="U64" s="9" t="inlineStr">
        <x:is>
          <x:t xml:space="preserve">No action</x:t>
        </x:is>
      </x:c>
      <x:c r="V64" s="9" t="inlineStr">
        <x:is>
          <x:t xml:space="preserve">None</x:t>
        </x:is>
      </x:c>
      <x:c r="W64" s="9" t="inlineStr">
        <x:is>
          <x:t xml:space="preserve">Synthetic - CIE training only</x:t>
        </x:is>
      </x:c>
    </x:row>
    <x:row r="65">
      <x:c r="A65" s="9" t="inlineStr">
        <x:is>
          <x:t xml:space="preserve">TBR-0060</x:t>
        </x:is>
      </x:c>
      <x:c r="B65" s="9" t="inlineStr">
        <x:is>
          <x:t xml:space="preserve">Q3 2026</x:t>
        </x:is>
      </x:c>
      <x:c r="C65" s="9" t="inlineStr">
        <x:is>
          <x:t xml:space="preserve">Hungary</x:t>
        </x:is>
      </x:c>
      <x:c r="D65" s="9" t="inlineStr">
        <x:is>
          <x:t xml:space="preserve">Key Accounts</x:t>
        </x:is>
      </x:c>
      <x:c r="E65" s="9" t="inlineStr">
        <x:is>
          <x:t xml:space="preserve">Marlow Retail Group (HU)</x:t>
        </x:is>
      </x:c>
      <x:c r="F65" s="9" t="inlineStr">
        <x:is>
          <x:t xml:space="preserve">Core</x:t>
        </x:is>
      </x:c>
      <x:c r="G65" s="9" t="inlineStr">
        <x:is>
          <x:t xml:space="preserve">Vapour</x:t>
        </x:is>
      </x:c>
      <x:c r="H65" s="10" t="n">
        <x:v>859.7</x:v>
      </x:c>
      <x:c r="I65" s="10" t="n">
        <x:v>975.5</x:v>
      </x:c>
      <x:c r="J65" s="11" t="n">
        <x:v>0.1347</x:v>
      </x:c>
      <x:c r="K65" s="10" t="n">
        <x:v>484.3</x:v>
      </x:c>
      <x:c r="L65" s="10" t="n">
        <x:v>507.7</x:v>
      </x:c>
      <x:c r="M65" s="11" t="n">
        <x:v>0.0483</x:v>
      </x:c>
      <x:c r="N65" s="10" t="n">
        <x:v>85.90000000000001</x:v>
      </x:c>
      <x:c r="O65" s="16" t="n">
        <x:v>4.1</x:v>
      </x:c>
      <x:c r="P65" s="9" t="inlineStr">
        <x:is>
          <x:t xml:space="preserve">Intensive</x:t>
        </x:is>
      </x:c>
      <x:c r="Q65" s="9" t="inlineStr">
        <x:is>
          <x:t xml:space="preserve">Competitor promotion</x:t>
        </x:is>
      </x:c>
      <x:c r="R65" s="9" t="inlineStr">
        <x:is>
          <x:t xml:space="preserve">Review promotion ROI before next cycle</x:t>
        </x:is>
      </x:c>
      <x:c r="S65" s="9" t="inlineStr">
        <x:is>
          <x:t xml:space="preserve">Key Account Manager</x:t>
        </x:is>
      </x:c>
      <x:c r="T65" s="17" t="n">
        <x:v>46281</x:v>
      </x:c>
      <x:c r="U65" s="9" t="inlineStr">
        <x:is>
          <x:t xml:space="preserve">Closed</x:t>
        </x:is>
      </x:c>
      <x:c r="V65" s="9" t="inlineStr">
        <x:is>
          <x:t xml:space="preserve">Trade investment</x:t>
        </x:is>
      </x:c>
      <x:c r="W65" s="9" t="inlineStr">
        <x:is>
          <x:t xml:space="preserve">Synthetic - CIE training only</x:t>
        </x:is>
      </x:c>
    </x:row>
    <x:row r="66">
      <x:c r="A66" s="9" t="inlineStr">
        <x:is>
          <x:t xml:space="preserve">TBR-0061</x:t>
        </x:is>
      </x:c>
      <x:c r="B66" s="9" t="inlineStr">
        <x:is>
          <x:t xml:space="preserve">Q3 2026</x:t>
        </x:is>
      </x:c>
      <x:c r="C66" s="9" t="inlineStr">
        <x:is>
          <x:t xml:space="preserve">Hungary</x:t>
        </x:is>
      </x:c>
      <x:c r="D66" s="9" t="inlineStr">
        <x:is>
          <x:t xml:space="preserve">Key Accounts</x:t>
        </x:is>
      </x:c>
      <x:c r="E66" s="9" t="inlineStr">
        <x:is>
          <x:t xml:space="preserve">Juniper Retail Group (HU)</x:t>
        </x:is>
      </x:c>
      <x:c r="F66" s="9" t="inlineStr">
        <x:is>
          <x:t xml:space="preserve">Strategic</x:t>
        </x:is>
      </x:c>
      <x:c r="G66" s="9" t="inlineStr">
        <x:is>
          <x:t xml:space="preserve">Heated Products</x:t>
        </x:is>
      </x:c>
      <x:c r="H66" s="10" t="n">
        <x:v>600.9</x:v>
      </x:c>
      <x:c r="I66" s="10" t="n">
        <x:v>664.9</x:v>
      </x:c>
      <x:c r="J66" s="11" t="n">
        <x:v>0.1065</x:v>
      </x:c>
      <x:c r="K66" s="10" t="n">
        <x:v>375.7</x:v>
      </x:c>
      <x:c r="L66" s="10" t="n">
        <x:v>412.3</x:v>
      </x:c>
      <x:c r="M66" s="11" t="n">
        <x:v>0.0974</x:v>
      </x:c>
      <x:c r="N66" s="10" t="n">
        <x:v>91.2</x:v>
      </x:c>
      <x:c r="O66" s="16" t="n">
        <x:v>4</x:v>
      </x:c>
      <x:c r="P66" s="9" t="inlineStr">
        <x:is>
          <x:t xml:space="preserve">Standard</x:t>
        </x:is>
      </x:c>
      <x:c r="Q66" s="9" t="inlineStr">
        <x:is>
          <x:t xml:space="preserve">None</x:t>
        </x:is>
      </x:c>
      <x:c r="R66" s="9" t="inlineStr">
        <x:is>
          <x:t xml:space="preserve">Update account plan for Q4</x:t>
        </x:is>
      </x:c>
      <x:c r="S66" s="9" t="inlineStr">
        <x:is>
          <x:t xml:space="preserve">Key Account Manager</x:t>
        </x:is>
      </x:c>
      <x:c r="T66" s="17" t="n">
        <x:v>46328</x:v>
      </x:c>
      <x:c r="U66" s="9" t="inlineStr">
        <x:is>
          <x:t xml:space="preserve">On track</x:t>
        </x:is>
      </x:c>
      <x:c r="V66" s="9" t="inlineStr">
        <x:is>
          <x:t xml:space="preserve">None</x:t>
        </x:is>
      </x:c>
      <x:c r="W66" s="9" t="inlineStr">
        <x:is>
          <x:t xml:space="preserve">Synthetic - CIE training only</x:t>
        </x:is>
      </x:c>
    </x:row>
    <x:row r="67">
      <x:c r="A67" s="9" t="inlineStr">
        <x:is>
          <x:t xml:space="preserve">TBR-0062</x:t>
        </x:is>
      </x:c>
      <x:c r="B67" s="9" t="inlineStr">
        <x:is>
          <x:t xml:space="preserve">Q3 2026</x:t>
        </x:is>
      </x:c>
      <x:c r="C67" s="9" t="inlineStr">
        <x:is>
          <x:t xml:space="preserve">Hungary</x:t>
        </x:is>
      </x:c>
      <x:c r="D67" s="9" t="inlineStr">
        <x:is>
          <x:t xml:space="preserve">Key Accounts</x:t>
        </x:is>
      </x:c>
      <x:c r="E67" s="9" t="inlineStr">
        <x:is>
          <x:t xml:space="preserve">Marlow Retail Group (HU)</x:t>
        </x:is>
      </x:c>
      <x:c r="F67" s="9" t="inlineStr">
        <x:is>
          <x:t xml:space="preserve">Developing</x:t>
        </x:is>
      </x:c>
      <x:c r="G67" s="9" t="inlineStr">
        <x:is>
          <x:t xml:space="preserve">Modern Oral</x:t>
        </x:is>
      </x:c>
      <x:c r="H67" s="10" t="n">
        <x:v>583.9</x:v>
      </x:c>
      <x:c r="I67" s="10" t="n">
        <x:v>692.7</x:v>
      </x:c>
      <x:c r="J67" s="11" t="n">
        <x:v>0.1863</x:v>
      </x:c>
      <x:c r="K67" s="10" t="n">
        <x:v>306.5</x:v>
      </x:c>
      <x:c r="L67" s="10" t="n">
        <x:v>359.8</x:v>
      </x:c>
      <x:c r="M67" s="11" t="n">
        <x:v>0.1739</x:v>
      </x:c>
      <x:c r="N67" s="10" t="n">
        <x:v>83.40000000000001</x:v>
      </x:c>
      <x:c r="O67" s="16" t="n">
        <x:v>5</x:v>
      </x:c>
      <x:c r="P67" s="9" t="inlineStr">
        <x:is>
          <x:t xml:space="preserve">Standard</x:t>
        </x:is>
      </x:c>
      <x:c r="Q67" s="9" t="inlineStr">
        <x:is>
          <x:t xml:space="preserve">Competitor promotion</x:t>
        </x:is>
      </x:c>
      <x:c r="R67" s="9" t="inlineStr">
        <x:is>
          <x:t xml:space="preserve">Validate sell-out data feed with distributor</x:t>
        </x:is>
      </x:c>
      <x:c r="S67" s="9" t="inlineStr">
        <x:is>
          <x:t xml:space="preserve">Key Account Manager</x:t>
        </x:is>
      </x:c>
      <x:c r="T67" s="17" t="n">
        <x:v>46280</x:v>
      </x:c>
      <x:c r="U67" s="9" t="inlineStr">
        <x:is>
          <x:t xml:space="preserve">Overdue</x:t>
        </x:is>
      </x:c>
      <x:c r="V67" s="9" t="inlineStr">
        <x:is>
          <x:t xml:space="preserve">Data quality</x:t>
        </x:is>
      </x:c>
      <x:c r="W67" s="9" t="inlineStr">
        <x:is>
          <x:t xml:space="preserve">Synthetic - CIE training only</x:t>
        </x:is>
      </x:c>
    </x:row>
    <x:row r="68">
      <x:c r="A68" s="9" t="inlineStr">
        <x:is>
          <x:t xml:space="preserve">TBR-0063</x:t>
        </x:is>
      </x:c>
      <x:c r="B68" s="9" t="inlineStr">
        <x:is>
          <x:t xml:space="preserve">Q3 2026</x:t>
        </x:is>
      </x:c>
      <x:c r="C68" s="9" t="inlineStr">
        <x:is>
          <x:t xml:space="preserve">Hungary</x:t>
        </x:is>
      </x:c>
      <x:c r="D68" s="9" t="inlineStr">
        <x:is>
          <x:t xml:space="preserve">Key Accounts</x:t>
        </x:is>
      </x:c>
      <x:c r="E68" s="9" t="inlineStr">
        <x:is>
          <x:t xml:space="preserve">Juniper Retail Group (HU)</x:t>
        </x:is>
      </x:c>
      <x:c r="F68" s="9" t="inlineStr">
        <x:is>
          <x:t xml:space="preserve">Strategic</x:t>
        </x:is>
      </x:c>
      <x:c r="G68" s="9" t="inlineStr">
        <x:is>
          <x:t xml:space="preserve">Modern Oral</x:t>
        </x:is>
      </x:c>
      <x:c r="H68" s="10" t="n">
        <x:v>675.8</x:v>
      </x:c>
      <x:c r="I68" s="10" t="n">
        <x:v>811.2</x:v>
      </x:c>
      <x:c r="J68" s="11" t="n">
        <x:v>0.2004</x:v>
      </x:c>
      <x:c r="K68" s="10" t="n">
        <x:v>353.9</x:v>
      </x:c>
      <x:c r="L68" s="10" t="n">
        <x:v>417.3</x:v>
      </x:c>
      <x:c r="M68" s="11" t="n">
        <x:v>0.1791</x:v>
      </x:c>
      <x:c r="N68" s="10" t="n">
        <x:v>84.90000000000001</x:v>
      </x:c>
      <x:c r="O68" s="16" t="n">
        <x:v>4.7</x:v>
      </x:c>
      <x:c r="P68" s="9" t="inlineStr">
        <x:is>
          <x:t xml:space="preserve">Standard</x:t>
        </x:is>
      </x:c>
      <x:c r="Q68" s="9" t="inlineStr">
        <x:is>
          <x:t xml:space="preserve">None</x:t>
        </x:is>
      </x:c>
      <x:c r="R68" s="9" t="inlineStr">
        <x:is>
          <x:t xml:space="preserve">None</x:t>
        </x:is>
      </x:c>
      <x:c r="S68" s="9" t="n"/>
      <x:c r="T68" s="17" t="n"/>
      <x:c r="U68" s="9" t="inlineStr">
        <x:is>
          <x:t xml:space="preserve">No action</x:t>
        </x:is>
      </x:c>
      <x:c r="V68" s="9" t="inlineStr">
        <x:is>
          <x:t xml:space="preserve">None</x:t>
        </x:is>
      </x:c>
      <x:c r="W68" s="9" t="inlineStr">
        <x:is>
          <x:t xml:space="preserve">Synthetic - CIE training only</x:t>
        </x:is>
      </x:c>
    </x:row>
    <x:row r="69">
      <x:c r="A69" s="9" t="inlineStr">
        <x:is>
          <x:t xml:space="preserve">TBR-0064</x:t>
        </x:is>
      </x:c>
      <x:c r="B69" s="9" t="inlineStr">
        <x:is>
          <x:t xml:space="preserve">Q3 2026</x:t>
        </x:is>
      </x:c>
      <x:c r="C69" s="9" t="inlineStr">
        <x:is>
          <x:t xml:space="preserve">Hungary</x:t>
        </x:is>
      </x:c>
      <x:c r="D69" s="9" t="inlineStr">
        <x:is>
          <x:t xml:space="preserve">Traditional Trade</x:t>
        </x:is>
      </x:c>
      <x:c r="E69" s="9" t="inlineStr">
        <x:is>
          <x:t xml:space="preserve">Oakhurst Independents Network (HU)</x:t>
        </x:is>
      </x:c>
      <x:c r="F69" s="9" t="inlineStr">
        <x:is>
          <x:t xml:space="preserve">Strategic</x:t>
        </x:is>
      </x:c>
      <x:c r="G69" s="9" t="inlineStr">
        <x:is>
          <x:t xml:space="preserve">Heated Products</x:t>
        </x:is>
      </x:c>
      <x:c r="H69" s="10" t="n">
        <x:v>392.3</x:v>
      </x:c>
      <x:c r="I69" s="10" t="n">
        <x:v>404.1</x:v>
      </x:c>
      <x:c r="J69" s="11" t="n">
        <x:v>0.0301</x:v>
      </x:c>
      <x:c r="K69" s="10" t="n">
        <x:v>244.2</x:v>
      </x:c>
      <x:c r="L69" s="10" t="n">
        <x:v>255.6</x:v>
      </x:c>
      <x:c r="M69" s="11" t="n">
        <x:v>0.0467</x:v>
      </x:c>
      <x:c r="N69" s="10" t="n">
        <x:v>59.9</x:v>
      </x:c>
      <x:c r="O69" s="16" t="n">
        <x:v>-1.4</x:v>
      </x:c>
      <x:c r="P69" s="9" t="inlineStr">
        <x:is>
          <x:t xml:space="preserve">None</x:t>
        </x:is>
      </x:c>
      <x:c r="Q69" s="9" t="inlineStr">
        <x:is>
          <x:t xml:space="preserve">Competitor promotion</x:t>
        </x:is>
      </x:c>
      <x:c r="R69" s="9" t="inlineStr">
        <x:is>
          <x:t xml:space="preserve">Close distribution gap in priority outlets</x:t>
        </x:is>
      </x:c>
      <x:c r="S69" s="9" t="inlineStr">
        <x:is>
          <x:t xml:space="preserve">Area Sales Manager</x:t>
        </x:is>
      </x:c>
      <x:c r="T69" s="17" t="n">
        <x:v>46344</x:v>
      </x:c>
      <x:c r="U69" s="9" t="inlineStr">
        <x:is>
          <x:t xml:space="preserve">On track</x:t>
        </x:is>
      </x:c>
      <x:c r="V69" s="9" t="inlineStr">
        <x:is>
          <x:t xml:space="preserve">None</x:t>
        </x:is>
      </x:c>
      <x:c r="W69" s="9" t="inlineStr">
        <x:is>
          <x:t xml:space="preserve">Synthetic - CIE training only</x:t>
        </x:is>
      </x:c>
    </x:row>
    <x:row r="70">
      <x:c r="A70" s="9" t="inlineStr">
        <x:is>
          <x:t xml:space="preserve">TBR-0065</x:t>
        </x:is>
      </x:c>
      <x:c r="B70" s="9" t="inlineStr">
        <x:is>
          <x:t xml:space="preserve">Q3 2026</x:t>
        </x:is>
      </x:c>
      <x:c r="C70" s="9" t="inlineStr">
        <x:is>
          <x:t xml:space="preserve">Hungary</x:t>
        </x:is>
      </x:c>
      <x:c r="D70" s="9" t="inlineStr">
        <x:is>
          <x:t xml:space="preserve">Traditional Trade</x:t>
        </x:is>
      </x:c>
      <x:c r="E70" s="9" t="inlineStr">
        <x:is>
          <x:t xml:space="preserve">Pinecrest Independents Network (HU)</x:t>
        </x:is>
      </x:c>
      <x:c r="F70" s="9" t="inlineStr">
        <x:is>
          <x:t xml:space="preserve">Developing</x:t>
        </x:is>
      </x:c>
      <x:c r="G70" s="9" t="inlineStr">
        <x:is>
          <x:t xml:space="preserve">Modern Oral</x:t>
        </x:is>
      </x:c>
      <x:c r="H70" s="10" t="n">
        <x:v>374.3</x:v>
      </x:c>
      <x:c r="I70" s="10" t="n">
        <x:v>426.2</x:v>
      </x:c>
      <x:c r="J70" s="11" t="n">
        <x:v>0.1387</x:v>
      </x:c>
      <x:c r="K70" s="10" t="n">
        <x:v>187.5</x:v>
      </x:c>
      <x:c r="L70" s="10" t="n">
        <x:v>212.2</x:v>
      </x:c>
      <x:c r="M70" s="11" t="n">
        <x:v>0.1317</x:v>
      </x:c>
      <x:c r="N70" s="10" t="n">
        <x:v>80.09999999999999</x:v>
      </x:c>
      <x:c r="O70" s="16" t="n">
        <x:v>0.8</x:v>
      </x:c>
      <x:c r="P70" s="9" t="inlineStr">
        <x:is>
          <x:t xml:space="preserve">Standard</x:t>
        </x:is>
      </x:c>
      <x:c r="Q70" s="9" t="inlineStr">
        <x:is>
          <x:t xml:space="preserve">None</x:t>
        </x:is>
      </x:c>
      <x:c r="R70" s="9" t="inlineStr">
        <x:is>
          <x:t xml:space="preserve">None</x:t>
        </x:is>
      </x:c>
      <x:c r="S70" s="9" t="n"/>
      <x:c r="T70" s="17" t="n"/>
      <x:c r="U70" s="9" t="inlineStr">
        <x:is>
          <x:t xml:space="preserve">No action</x:t>
        </x:is>
      </x:c>
      <x:c r="V70" s="9" t="inlineStr">
        <x:is>
          <x:t xml:space="preserve">None</x:t>
        </x:is>
      </x:c>
      <x:c r="W70" s="9" t="inlineStr">
        <x:is>
          <x:t xml:space="preserve">Synthetic - CIE training only</x:t>
        </x:is>
      </x:c>
    </x:row>
    <x:row r="71">
      <x:c r="A71" s="9" t="inlineStr">
        <x:is>
          <x:t xml:space="preserve">TBR-0066</x:t>
        </x:is>
      </x:c>
      <x:c r="B71" s="9" t="inlineStr">
        <x:is>
          <x:t xml:space="preserve">Q3 2026</x:t>
        </x:is>
      </x:c>
      <x:c r="C71" s="9" t="inlineStr">
        <x:is>
          <x:t xml:space="preserve">Hungary</x:t>
        </x:is>
      </x:c>
      <x:c r="D71" s="9" t="inlineStr">
        <x:is>
          <x:t xml:space="preserve">Traditional Trade</x:t>
        </x:is>
      </x:c>
      <x:c r="E71" s="9" t="inlineStr">
        <x:is>
          <x:t xml:space="preserve">Oakhurst Independents Network (HU)</x:t>
        </x:is>
      </x:c>
      <x:c r="F71" s="9" t="inlineStr">
        <x:is>
          <x:t xml:space="preserve">Core</x:t>
        </x:is>
      </x:c>
      <x:c r="G71" s="9" t="inlineStr">
        <x:is>
          <x:t xml:space="preserve">Combustibles</x:t>
        </x:is>
      </x:c>
      <x:c r="H71" s="10" t="n">
        <x:v>267.9</x:v>
      </x:c>
      <x:c r="I71" s="10" t="n">
        <x:v>274.4</x:v>
      </x:c>
      <x:c r="J71" s="11" t="n">
        <x:v>0.0243</x:v>
      </x:c>
      <x:c r="K71" s="10" t="n">
        <x:v>112.7</x:v>
      </x:c>
      <x:c r="L71" s="10" t="n">
        <x:v>107.7</x:v>
      </x:c>
      <x:c r="M71" s="11" t="n">
        <x:v>-0.0444</x:v>
      </x:c>
      <x:c r="N71" s="10" t="n">
        <x:v>71.5</x:v>
      </x:c>
      <x:c r="O71" s="16" t="n">
        <x:v>0.6</x:v>
      </x:c>
      <x:c r="P71" s="9" t="inlineStr">
        <x:is>
          <x:t xml:space="preserve">Intensive</x:t>
        </x:is>
      </x:c>
      <x:c r="Q71" s="9" t="inlineStr">
        <x:is>
          <x:t xml:space="preserve">Display space lost</x:t>
        </x:is>
      </x:c>
      <x:c r="R71" s="9" t="inlineStr">
        <x:is>
          <x:t xml:space="preserve">Agree display recovery plan with account (no terms committed)</x:t>
        </x:is>
      </x:c>
      <x:c r="S71" s="9" t="inlineStr">
        <x:is>
          <x:t xml:space="preserve">Area Sales Manager</x:t>
        </x:is>
      </x:c>
      <x:c r="T71" s="17" t="n">
        <x:v>46328</x:v>
      </x:c>
      <x:c r="U71" s="9" t="inlineStr">
        <x:is>
          <x:t xml:space="preserve">On track</x:t>
        </x:is>
      </x:c>
      <x:c r="V71" s="9" t="inlineStr">
        <x:is>
          <x:t xml:space="preserve">Customer terms</x:t>
        </x:is>
      </x:c>
      <x:c r="W71" s="9" t="inlineStr">
        <x:is>
          <x:t xml:space="preserve">Synthetic - CIE training only</x:t>
        </x:is>
      </x:c>
    </x:row>
    <x:row r="72">
      <x:c r="A72" s="9" t="inlineStr">
        <x:is>
          <x:t xml:space="preserve">TBR-0067</x:t>
        </x:is>
      </x:c>
      <x:c r="B72" s="9" t="inlineStr">
        <x:is>
          <x:t xml:space="preserve">Q3 2026</x:t>
        </x:is>
      </x:c>
      <x:c r="C72" s="9" t="inlineStr">
        <x:is>
          <x:t xml:space="preserve">Hungary</x:t>
        </x:is>
      </x:c>
      <x:c r="D72" s="9" t="inlineStr">
        <x:is>
          <x:t xml:space="preserve">Traditional Trade</x:t>
        </x:is>
      </x:c>
      <x:c r="E72" s="9" t="inlineStr">
        <x:is>
          <x:t xml:space="preserve">Pinecrest Independents Network (HU)</x:t>
        </x:is>
      </x:c>
      <x:c r="F72" s="9" t="inlineStr">
        <x:is>
          <x:t xml:space="preserve">Strategic</x:t>
        </x:is>
      </x:c>
      <x:c r="G72" s="9" t="inlineStr">
        <x:is>
          <x:t xml:space="preserve">Vapour</x:t>
        </x:is>
      </x:c>
      <x:c r="H72" s="10" t="n">
        <x:v>476.4</x:v>
      </x:c>
      <x:c r="I72" s="10" t="n">
        <x:v>477.3</x:v>
      </x:c>
      <x:c r="J72" s="11" t="n">
        <x:v>0.0019</x:v>
      </x:c>
      <x:c r="K72" s="10" t="n">
        <x:v>251.1</x:v>
      </x:c>
      <x:c r="L72" s="10" t="n">
        <x:v>243.7</x:v>
      </x:c>
      <x:c r="M72" s="11" t="n">
        <x:v>-0.0295</x:v>
      </x:c>
      <x:c r="N72" s="10" t="n">
        <x:v>72.09999999999999</x:v>
      </x:c>
      <x:c r="O72" s="16" t="n">
        <x:v>-0.8</x:v>
      </x:c>
      <x:c r="P72" s="9" t="inlineStr">
        <x:is>
          <x:t xml:space="preserve">Standard</x:t>
        </x:is>
      </x:c>
      <x:c r="Q72" s="9" t="inlineStr">
        <x:is>
          <x:t xml:space="preserve">None</x:t>
        </x:is>
      </x:c>
      <x:c r="R72" s="9" t="inlineStr">
        <x:is>
          <x:t xml:space="preserve">Validate sell-out data feed with distributor</x:t>
        </x:is>
      </x:c>
      <x:c r="S72" s="9" t="inlineStr">
        <x:is>
          <x:t xml:space="preserve">Area Sales Manager</x:t>
        </x:is>
      </x:c>
      <x:c r="T72" s="17" t="n">
        <x:v>46306</x:v>
      </x:c>
      <x:c r="U72" s="9" t="inlineStr">
        <x:is>
          <x:t xml:space="preserve">Overdue</x:t>
        </x:is>
      </x:c>
      <x:c r="V72" s="9" t="inlineStr">
        <x:is>
          <x:t xml:space="preserve">Data quality</x:t>
        </x:is>
      </x:c>
      <x:c r="W72" s="9" t="inlineStr">
        <x:is>
          <x:t xml:space="preserve">Synthetic - CIE training only</x:t>
        </x:is>
      </x:c>
    </x:row>
    <x:row r="73">
      <x:c r="A73" s="9" t="inlineStr">
        <x:is>
          <x:t xml:space="preserve">TBR-0068</x:t>
        </x:is>
      </x:c>
      <x:c r="B73" s="9" t="inlineStr">
        <x:is>
          <x:t xml:space="preserve">Q3 2026</x:t>
        </x:is>
      </x:c>
      <x:c r="C73" s="9" t="inlineStr">
        <x:is>
          <x:t xml:space="preserve">Hungary</x:t>
        </x:is>
      </x:c>
      <x:c r="D73" s="9" t="inlineStr">
        <x:is>
          <x:t xml:space="preserve">Traditional Trade</x:t>
        </x:is>
      </x:c>
      <x:c r="E73" s="9" t="inlineStr">
        <x:is>
          <x:t xml:space="preserve">Oakhurst Independents Network (HU)</x:t>
        </x:is>
      </x:c>
      <x:c r="F73" s="9" t="inlineStr">
        <x:is>
          <x:t xml:space="preserve">Strategic</x:t>
        </x:is>
      </x:c>
      <x:c r="G73" s="9" t="inlineStr">
        <x:is>
          <x:t xml:space="preserve">Vapour</x:t>
        </x:is>
      </x:c>
      <x:c r="H73" s="10" t="n">
        <x:v>263</x:v>
      </x:c>
      <x:c r="I73" s="10" t="n">
        <x:v>269.6</x:v>
      </x:c>
      <x:c r="J73" s="11" t="n">
        <x:v>0.0251</x:v>
      </x:c>
      <x:c r="K73" s="10" t="n">
        <x:v>149.9</x:v>
      </x:c>
      <x:c r="L73" s="10" t="n">
        <x:v>143.8</x:v>
      </x:c>
      <x:c r="M73" s="11" t="n">
        <x:v>-0.0407</x:v>
      </x:c>
      <x:c r="N73" s="10" t="n">
        <x:v>78.5</x:v>
      </x:c>
      <x:c r="O73" s="16" t="n">
        <x:v>0.2</x:v>
      </x:c>
      <x:c r="P73" s="9" t="inlineStr">
        <x:is>
          <x:t xml:space="preserve">Intensive</x:t>
        </x:is>
      </x:c>
      <x:c r="Q73" s="9" t="inlineStr">
        <x:is>
          <x:t xml:space="preserve">None</x:t>
        </x:is>
      </x:c>
      <x:c r="R73" s="9" t="inlineStr">
        <x:is>
          <x:t xml:space="preserve">Review promotion ROI before next cycle</x:t>
        </x:is>
      </x:c>
      <x:c r="S73" s="9" t="inlineStr">
        <x:is>
          <x:t xml:space="preserve">Area Sales Manager</x:t>
        </x:is>
      </x:c>
      <x:c r="T73" s="17" t="n">
        <x:v>46287</x:v>
      </x:c>
      <x:c r="U73" s="9" t="inlineStr">
        <x:is>
          <x:t xml:space="preserve">Overdue</x:t>
        </x:is>
      </x:c>
      <x:c r="V73" s="9" t="inlineStr">
        <x:is>
          <x:t xml:space="preserve">Trade investment</x:t>
        </x:is>
      </x:c>
      <x:c r="W73" s="9" t="inlineStr">
        <x:is>
          <x:t xml:space="preserve">Synthetic - CIE training only</x:t>
        </x:is>
      </x:c>
    </x:row>
    <x:row r="74">
      <x:c r="A74" s="9" t="inlineStr">
        <x:is>
          <x:t xml:space="preserve">TBR-0069</x:t>
        </x:is>
      </x:c>
      <x:c r="B74" s="9" t="inlineStr">
        <x:is>
          <x:t xml:space="preserve">Q3 2026</x:t>
        </x:is>
      </x:c>
      <x:c r="C74" s="9" t="inlineStr">
        <x:is>
          <x:t xml:space="preserve">Hungary</x:t>
        </x:is>
      </x:c>
      <x:c r="D74" s="9" t="inlineStr">
        <x:is>
          <x:t xml:space="preserve">Traditional Trade</x:t>
        </x:is>
      </x:c>
      <x:c r="E74" s="9" t="inlineStr">
        <x:is>
          <x:t xml:space="preserve">Pinecrest Independents Network (HU)</x:t>
        </x:is>
      </x:c>
      <x:c r="F74" s="9" t="inlineStr">
        <x:is>
          <x:t xml:space="preserve">Strategic</x:t>
        </x:is>
      </x:c>
      <x:c r="G74" s="9" t="inlineStr">
        <x:is>
          <x:t xml:space="preserve">Vapour</x:t>
        </x:is>
      </x:c>
      <x:c r="H74" s="10" t="n">
        <x:v>307.9</x:v>
      </x:c>
      <x:c r="I74" s="10" t="n">
        <x:v>328.3</x:v>
      </x:c>
      <x:c r="J74" s="11" t="n">
        <x:v>0.0663</x:v>
      </x:c>
      <x:c r="K74" s="10" t="n">
        <x:v>169.1</x:v>
      </x:c>
      <x:c r="L74" s="10" t="n">
        <x:v>166.3</x:v>
      </x:c>
      <x:c r="M74" s="11" t="n">
        <x:v>-0.0166</x:v>
      </x:c>
      <x:c r="N74" s="10" t="n">
        <x:v>61.9</x:v>
      </x:c>
      <x:c r="O74" s="16" t="n">
        <x:v>0.5</x:v>
      </x:c>
      <x:c r="P74" s="9" t="inlineStr">
        <x:is>
          <x:t xml:space="preserve">Intensive</x:t>
        </x:is>
      </x:c>
      <x:c r="Q74" s="9" t="inlineStr">
        <x:is>
          <x:t xml:space="preserve">None</x:t>
        </x:is>
      </x:c>
      <x:c r="R74" s="9" t="inlineStr">
        <x:is>
          <x:t xml:space="preserve">Review promotion ROI before next cycle</x:t>
        </x:is>
      </x:c>
      <x:c r="S74" s="9" t="inlineStr">
        <x:is>
          <x:t xml:space="preserve">Area Sales Manager</x:t>
        </x:is>
      </x:c>
      <x:c r="T74" s="17" t="n">
        <x:v>46355</x:v>
      </x:c>
      <x:c r="U74" s="9" t="inlineStr">
        <x:is>
          <x:t xml:space="preserve">On track</x:t>
        </x:is>
      </x:c>
      <x:c r="V74" s="9" t="inlineStr">
        <x:is>
          <x:t xml:space="preserve">Trade investment</x:t>
        </x:is>
      </x:c>
      <x:c r="W74" s="9" t="inlineStr">
        <x:is>
          <x:t xml:space="preserve">Synthetic - CIE training only</x:t>
        </x:is>
      </x:c>
    </x:row>
    <x:row r="75">
      <x:c r="A75" s="9" t="inlineStr">
        <x:is>
          <x:t xml:space="preserve">TBR-0070</x:t>
        </x:is>
      </x:c>
      <x:c r="B75" s="9" t="inlineStr">
        <x:is>
          <x:t xml:space="preserve">Q3 2026</x:t>
        </x:is>
      </x:c>
      <x:c r="C75" s="9" t="inlineStr">
        <x:is>
          <x:t xml:space="preserve">Hungary</x:t>
        </x:is>
      </x:c>
      <x:c r="D75" s="9" t="inlineStr">
        <x:is>
          <x:t xml:space="preserve">Traditional Trade</x:t>
        </x:is>
      </x:c>
      <x:c r="E75" s="9" t="inlineStr">
        <x:is>
          <x:t xml:space="preserve">Oakhurst Independents Network (HU)</x:t>
        </x:is>
      </x:c>
      <x:c r="F75" s="9" t="inlineStr">
        <x:is>
          <x:t xml:space="preserve">Core</x:t>
        </x:is>
      </x:c>
      <x:c r="G75" s="9" t="inlineStr">
        <x:is>
          <x:t xml:space="preserve">Combustibles</x:t>
        </x:is>
      </x:c>
      <x:c r="H75" s="10" t="n">
        <x:v>450.2</x:v>
      </x:c>
      <x:c r="I75" s="10" t="n">
        <x:v>472.2</x:v>
      </x:c>
      <x:c r="J75" s="11" t="n">
        <x:v>0.0489</x:v>
      </x:c>
      <x:c r="K75" s="10" t="n">
        <x:v>182.2</x:v>
      </x:c>
      <x:c r="L75" s="10" t="n">
        <x:v>174.1</x:v>
      </x:c>
      <x:c r="M75" s="11" t="n">
        <x:v>-0.0445</x:v>
      </x:c>
      <x:c r="N75" s="10" t="n">
        <x:v>82.2</x:v>
      </x:c>
      <x:c r="O75" s="16" t="n">
        <x:v>1.9</x:v>
      </x:c>
      <x:c r="P75" s="9" t="inlineStr">
        <x:is>
          <x:t xml:space="preserve">Intensive</x:t>
        </x:is>
      </x:c>
      <x:c r="Q75" s="9" t="inlineStr">
        <x:is>
          <x:t xml:space="preserve">Competitor new launch</x:t>
        </x:is>
      </x:c>
      <x:c r="R75" s="9" t="inlineStr">
        <x:is>
          <x:t xml:space="preserve">Assess shelf and range impact of competitor launch</x:t>
        </x:is>
      </x:c>
      <x:c r="S75" s="9" t="inlineStr">
        <x:is>
          <x:t xml:space="preserve">Area Sales Manager</x:t>
        </x:is>
      </x:c>
      <x:c r="T75" s="17" t="n">
        <x:v>46276</x:v>
      </x:c>
      <x:c r="U75" s="9" t="inlineStr">
        <x:is>
          <x:t xml:space="preserve">Closed</x:t>
        </x:is>
      </x:c>
      <x:c r="V75" s="9" t="inlineStr">
        <x:is>
          <x:t xml:space="preserve">Portfolio</x:t>
        </x:is>
      </x:c>
      <x:c r="W75" s="9" t="inlineStr">
        <x:is>
          <x:t xml:space="preserve">Synthetic - CIE training only</x:t>
        </x:is>
      </x:c>
    </x:row>
    <x:row r="76">
      <x:c r="A76" s="9" t="inlineStr">
        <x:is>
          <x:t xml:space="preserve">TBR-0071</x:t>
        </x:is>
      </x:c>
      <x:c r="B76" s="9" t="inlineStr">
        <x:is>
          <x:t xml:space="preserve">Q3 2026</x:t>
        </x:is>
      </x:c>
      <x:c r="C76" s="9" t="inlineStr">
        <x:is>
          <x:t xml:space="preserve">Hungary</x:t>
        </x:is>
      </x:c>
      <x:c r="D76" s="9" t="inlineStr">
        <x:is>
          <x:t xml:space="preserve">Convenience &amp; Fuel</x:t>
        </x:is>
      </x:c>
      <x:c r="E76" s="9" t="inlineStr">
        <x:is>
          <x:t xml:space="preserve">Quayside Fuel &amp; Go (HU)</x:t>
        </x:is>
      </x:c>
      <x:c r="F76" s="9" t="inlineStr">
        <x:is>
          <x:t xml:space="preserve">Developing</x:t>
        </x:is>
      </x:c>
      <x:c r="G76" s="9" t="inlineStr">
        <x:is>
          <x:t xml:space="preserve">Heated Products</x:t>
        </x:is>
      </x:c>
      <x:c r="H76" s="10" t="n">
        <x:v>278.9</x:v>
      </x:c>
      <x:c r="I76" s="10" t="n">
        <x:v>284.1</x:v>
      </x:c>
      <x:c r="J76" s="11" t="n">
        <x:v>0.0186</x:v>
      </x:c>
      <x:c r="K76" s="10" t="n">
        <x:v>160.6</x:v>
      </x:c>
      <x:c r="L76" s="10" t="n">
        <x:v>162.8</x:v>
      </x:c>
      <x:c r="M76" s="11" t="n">
        <x:v>0.0137</x:v>
      </x:c>
      <x:c r="N76" s="10" t="n">
        <x:v>83.7</x:v>
      </x:c>
      <x:c r="O76" s="16" t="n">
        <x:v>1.3</x:v>
      </x:c>
      <x:c r="P76" s="9" t="inlineStr">
        <x:is>
          <x:t xml:space="preserve">None</x:t>
        </x:is>
      </x:c>
      <x:c r="Q76" s="9" t="inlineStr">
        <x:is>
          <x:t xml:space="preserve">Display space lost</x:t>
        </x:is>
      </x:c>
      <x:c r="R76" s="9" t="inlineStr">
        <x:is>
          <x:t xml:space="preserve">Agree display recovery plan with account (no terms committed)</x:t>
        </x:is>
      </x:c>
      <x:c r="S76" s="9" t="inlineStr">
        <x:is>
          <x:t xml:space="preserve">Channel Manager - Convenience</x:t>
        </x:is>
      </x:c>
      <x:c r="T76" s="17" t="n">
        <x:v>46348</x:v>
      </x:c>
      <x:c r="U76" s="9" t="inlineStr">
        <x:is>
          <x:t xml:space="preserve">Closed</x:t>
        </x:is>
      </x:c>
      <x:c r="V76" s="9" t="inlineStr">
        <x:is>
          <x:t xml:space="preserve">Customer terms</x:t>
        </x:is>
      </x:c>
      <x:c r="W76" s="9" t="inlineStr">
        <x:is>
          <x:t xml:space="preserve">Synthetic - CIE training only</x:t>
        </x:is>
      </x:c>
    </x:row>
    <x:row r="77">
      <x:c r="A77" s="9" t="inlineStr">
        <x:is>
          <x:t xml:space="preserve">TBR-0072</x:t>
        </x:is>
      </x:c>
      <x:c r="B77" s="9" t="inlineStr">
        <x:is>
          <x:t xml:space="preserve">Q3 2026</x:t>
        </x:is>
      </x:c>
      <x:c r="C77" s="9" t="inlineStr">
        <x:is>
          <x:t xml:space="preserve">Hungary</x:t>
        </x:is>
      </x:c>
      <x:c r="D77" s="9" t="inlineStr">
        <x:is>
          <x:t xml:space="preserve">Convenience &amp; Fuel</x:t>
        </x:is>
      </x:c>
      <x:c r="E77" s="9" t="inlineStr">
        <x:is>
          <x:t xml:space="preserve">Rivermill Fuel &amp; Go (HU)</x:t>
        </x:is>
      </x:c>
      <x:c r="F77" s="9" t="inlineStr">
        <x:is>
          <x:t xml:space="preserve">Core</x:t>
        </x:is>
      </x:c>
      <x:c r="G77" s="9" t="inlineStr">
        <x:is>
          <x:t xml:space="preserve">Modern Oral</x:t>
        </x:is>
      </x:c>
      <x:c r="H77" s="10" t="n">
        <x:v>354.4</x:v>
      </x:c>
      <x:c r="I77" s="10" t="n">
        <x:v>404.3</x:v>
      </x:c>
      <x:c r="J77" s="11" t="n">
        <x:v>0.1408</x:v>
      </x:c>
      <x:c r="K77" s="10" t="n">
        <x:v>170.6</x:v>
      </x:c>
      <x:c r="L77" s="10" t="n">
        <x:v>195.3</x:v>
      </x:c>
      <x:c r="M77" s="11" t="n">
        <x:v>0.1448</x:v>
      </x:c>
      <x:c r="N77" s="10" t="n">
        <x:v>69.2</x:v>
      </x:c>
      <x:c r="O77" s="16" t="n">
        <x:v>-0.4</x:v>
      </x:c>
      <x:c r="P77" s="9" t="inlineStr">
        <x:is>
          <x:t xml:space="preserve">Standard</x:t>
        </x:is>
      </x:c>
      <x:c r="Q77" s="9" t="inlineStr">
        <x:is>
          <x:t xml:space="preserve">Competitor promotion</x:t>
        </x:is>
      </x:c>
      <x:c r="R77" s="9" t="inlineStr">
        <x:is>
          <x:t xml:space="preserve">Update account plan for Q4</x:t>
        </x:is>
      </x:c>
      <x:c r="S77" s="9" t="inlineStr">
        <x:is>
          <x:t xml:space="preserve">Channel Manager - Convenience</x:t>
        </x:is>
      </x:c>
      <x:c r="T77" s="17" t="n">
        <x:v>46346</x:v>
      </x:c>
      <x:c r="U77" s="9" t="inlineStr">
        <x:is>
          <x:t xml:space="preserve">Not started</x:t>
        </x:is>
      </x:c>
      <x:c r="V77" s="9" t="inlineStr">
        <x:is>
          <x:t xml:space="preserve">None</x:t>
        </x:is>
      </x:c>
      <x:c r="W77" s="9" t="inlineStr">
        <x:is>
          <x:t xml:space="preserve">Synthetic - CIE training only</x:t>
        </x:is>
      </x:c>
    </x:row>
    <x:row r="78">
      <x:c r="A78" s="9" t="inlineStr">
        <x:is>
          <x:t xml:space="preserve">TBR-0073</x:t>
        </x:is>
      </x:c>
      <x:c r="B78" s="9" t="inlineStr">
        <x:is>
          <x:t xml:space="preserve">Q3 2026</x:t>
        </x:is>
      </x:c>
      <x:c r="C78" s="9" t="inlineStr">
        <x:is>
          <x:t xml:space="preserve">Hungary</x:t>
        </x:is>
      </x:c>
      <x:c r="D78" s="9" t="inlineStr">
        <x:is>
          <x:t xml:space="preserve">Convenience &amp; Fuel</x:t>
        </x:is>
      </x:c>
      <x:c r="E78" s="9" t="inlineStr">
        <x:is>
          <x:t xml:space="preserve">Quayside Fuel &amp; Go (HU)</x:t>
        </x:is>
      </x:c>
      <x:c r="F78" s="9" t="inlineStr">
        <x:is>
          <x:t xml:space="preserve">Developing</x:t>
        </x:is>
      </x:c>
      <x:c r="G78" s="9" t="inlineStr">
        <x:is>
          <x:t xml:space="preserve">Combustibles</x:t>
        </x:is>
      </x:c>
      <x:c r="H78" s="10" t="n">
        <x:v>362.8</x:v>
      </x:c>
      <x:c r="I78" s="10" t="n">
        <x:v>364.2</x:v>
      </x:c>
      <x:c r="J78" s="11" t="n">
        <x:v>0.0039</x:v>
      </x:c>
      <x:c r="K78" s="10" t="n">
        <x:v>153.4</x:v>
      </x:c>
      <x:c r="L78" s="10" t="n">
        <x:v>153.9</x:v>
      </x:c>
      <x:c r="M78" s="11" t="n">
        <x:v>0.0033</x:v>
      </x:c>
      <x:c r="N78" s="10" t="n">
        <x:v>83.3</x:v>
      </x:c>
      <x:c r="O78" s="16" t="n">
        <x:v>0.2</x:v>
      </x:c>
      <x:c r="P78" s="9" t="inlineStr">
        <x:is>
          <x:t xml:space="preserve">None</x:t>
        </x:is>
      </x:c>
      <x:c r="Q78" s="9" t="inlineStr">
        <x:is>
          <x:t xml:space="preserve">Competitor promotion</x:t>
        </x:is>
      </x:c>
      <x:c r="R78" s="9" t="inlineStr">
        <x:is>
          <x:t xml:space="preserve">Update account plan for Q4</x:t>
        </x:is>
      </x:c>
      <x:c r="S78" s="9" t="inlineStr">
        <x:is>
          <x:t xml:space="preserve">Channel Manager - Convenience</x:t>
        </x:is>
      </x:c>
      <x:c r="T78" s="17" t="n">
        <x:v>46360</x:v>
      </x:c>
      <x:c r="U78" s="9" t="inlineStr">
        <x:is>
          <x:t xml:space="preserve">On track</x:t>
        </x:is>
      </x:c>
      <x:c r="V78" s="9" t="inlineStr">
        <x:is>
          <x:t xml:space="preserve">None</x:t>
        </x:is>
      </x:c>
      <x:c r="W78" s="9" t="inlineStr">
        <x:is>
          <x:t xml:space="preserve">Synthetic - CIE training only</x:t>
        </x:is>
      </x:c>
    </x:row>
    <x:row r="79">
      <x:c r="A79" s="9" t="inlineStr">
        <x:is>
          <x:t xml:space="preserve">TBR-0074</x:t>
        </x:is>
      </x:c>
      <x:c r="B79" s="9" t="inlineStr">
        <x:is>
          <x:t xml:space="preserve">Q3 2026</x:t>
        </x:is>
      </x:c>
      <x:c r="C79" s="9" t="inlineStr">
        <x:is>
          <x:t xml:space="preserve">Hungary</x:t>
        </x:is>
      </x:c>
      <x:c r="D79" s="9" t="inlineStr">
        <x:is>
          <x:t xml:space="preserve">Convenience &amp; Fuel</x:t>
        </x:is>
      </x:c>
      <x:c r="E79" s="9" t="inlineStr">
        <x:is>
          <x:t xml:space="preserve">Rivermill Fuel &amp; Go (HU)</x:t>
        </x:is>
      </x:c>
      <x:c r="F79" s="9" t="inlineStr">
        <x:is>
          <x:t xml:space="preserve">Core</x:t>
        </x:is>
      </x:c>
      <x:c r="G79" s="9" t="inlineStr">
        <x:is>
          <x:t xml:space="preserve">Vapour</x:t>
        </x:is>
      </x:c>
      <x:c r="H79" s="10" t="n">
        <x:v>298.3</x:v>
      </x:c>
      <x:c r="I79" s="10" t="n">
        <x:v>305.6</x:v>
      </x:c>
      <x:c r="J79" s="11" t="n">
        <x:v>0.0245</x:v>
      </x:c>
      <x:c r="K79" s="10" t="n">
        <x:v>167.6</x:v>
      </x:c>
      <x:c r="L79" s="10" t="n">
        <x:v>165.2</x:v>
      </x:c>
      <x:c r="M79" s="11" t="n">
        <x:v>-0.0143</x:v>
      </x:c>
      <x:c r="N79" s="10" t="n">
        <x:v>77.09999999999999</x:v>
      </x:c>
      <x:c r="O79" s="16" t="n">
        <x:v>0.2</x:v>
      </x:c>
      <x:c r="P79" s="9" t="inlineStr">
        <x:is>
          <x:t xml:space="preserve">Standard</x:t>
        </x:is>
      </x:c>
      <x:c r="Q79" s="9" t="inlineStr">
        <x:is>
          <x:t xml:space="preserve">None</x:t>
        </x:is>
      </x:c>
      <x:c r="R79" s="9" t="inlineStr">
        <x:is>
          <x:t xml:space="preserve">Validate sell-out data feed with distributor</x:t>
        </x:is>
      </x:c>
      <x:c r="S79" s="9" t="inlineStr">
        <x:is>
          <x:t xml:space="preserve">Channel Manager - Convenience</x:t>
        </x:is>
      </x:c>
      <x:c r="T79" s="17" t="n">
        <x:v>46361</x:v>
      </x:c>
      <x:c r="U79" s="9" t="inlineStr">
        <x:is>
          <x:t xml:space="preserve">Not started</x:t>
        </x:is>
      </x:c>
      <x:c r="V79" s="9" t="inlineStr">
        <x:is>
          <x:t xml:space="preserve">Data quality</x:t>
        </x:is>
      </x:c>
      <x:c r="W79" s="9" t="inlineStr">
        <x:is>
          <x:t xml:space="preserve">Synthetic - CIE training only</x:t>
        </x:is>
      </x:c>
    </x:row>
    <x:row r="80">
      <x:c r="A80" s="9" t="inlineStr">
        <x:is>
          <x:t xml:space="preserve">TBR-0075</x:t>
        </x:is>
      </x:c>
      <x:c r="B80" s="9" t="inlineStr">
        <x:is>
          <x:t xml:space="preserve">Q3 2026</x:t>
        </x:is>
      </x:c>
      <x:c r="C80" s="9" t="inlineStr">
        <x:is>
          <x:t xml:space="preserve">Hungary</x:t>
        </x:is>
      </x:c>
      <x:c r="D80" s="9" t="inlineStr">
        <x:is>
          <x:t xml:space="preserve">Convenience &amp; Fuel</x:t>
        </x:is>
      </x:c>
      <x:c r="E80" s="9" t="inlineStr">
        <x:is>
          <x:t xml:space="preserve">Quayside Fuel &amp; Go (HU)</x:t>
        </x:is>
      </x:c>
      <x:c r="F80" s="9" t="inlineStr">
        <x:is>
          <x:t xml:space="preserve">Core</x:t>
        </x:is>
      </x:c>
      <x:c r="G80" s="9" t="inlineStr">
        <x:is>
          <x:t xml:space="preserve">Vapour</x:t>
        </x:is>
      </x:c>
      <x:c r="H80" s="10" t="n">
        <x:v>260</x:v>
      </x:c>
      <x:c r="I80" s="10" t="n">
        <x:v>253.9</x:v>
      </x:c>
      <x:c r="J80" s="11" t="n">
        <x:v>-0.0235</x:v>
      </x:c>
      <x:c r="K80" s="10" t="n">
        <x:v>147.6</x:v>
      </x:c>
      <x:c r="L80" s="10" t="n">
        <x:v>140.9</x:v>
      </x:c>
      <x:c r="M80" s="11" t="n">
        <x:v>-0.0454</x:v>
      </x:c>
      <x:c r="N80" s="10" t="n">
        <x:v>71</x:v>
      </x:c>
      <x:c r="O80" s="16" t="n">
        <x:v>0.1</x:v>
      </x:c>
      <x:c r="P80" s="9" t="inlineStr">
        <x:is>
          <x:t xml:space="preserve">Standard</x:t>
        </x:is>
      </x:c>
      <x:c r="Q80" s="9" t="inlineStr">
        <x:is>
          <x:t xml:space="preserve">Competitor promotion</x:t>
        </x:is>
      </x:c>
      <x:c r="R80" s="9" t="inlineStr">
        <x:is>
          <x:t xml:space="preserve">Validate sell-out data feed with distributor</x:t>
        </x:is>
      </x:c>
      <x:c r="S80" s="9" t="inlineStr">
        <x:is>
          <x:t xml:space="preserve">Channel Manager - Convenience</x:t>
        </x:is>
      </x:c>
      <x:c r="T80" s="17" t="n">
        <x:v>46278</x:v>
      </x:c>
      <x:c r="U80" s="9" t="inlineStr">
        <x:is>
          <x:t xml:space="preserve">Overdue</x:t>
        </x:is>
      </x:c>
      <x:c r="V80" s="9" t="inlineStr">
        <x:is>
          <x:t xml:space="preserve">Data quality</x:t>
        </x:is>
      </x:c>
      <x:c r="W80" s="9" t="inlineStr">
        <x:is>
          <x:t xml:space="preserve">Synthetic - CIE training only</x:t>
        </x:is>
      </x:c>
    </x:row>
    <x:row r="81">
      <x:c r="A81" s="9" t="inlineStr">
        <x:is>
          <x:t xml:space="preserve">TBR-0076</x:t>
        </x:is>
      </x:c>
      <x:c r="B81" s="9" t="inlineStr">
        <x:is>
          <x:t xml:space="preserve">Q3 2026</x:t>
        </x:is>
      </x:c>
      <x:c r="C81" s="9" t="inlineStr">
        <x:is>
          <x:t xml:space="preserve">Hungary</x:t>
        </x:is>
      </x:c>
      <x:c r="D81" s="9" t="inlineStr">
        <x:is>
          <x:t xml:space="preserve">Convenience &amp; Fuel</x:t>
        </x:is>
      </x:c>
      <x:c r="E81" s="9" t="inlineStr">
        <x:is>
          <x:t xml:space="preserve">Rivermill Fuel &amp; Go (HU)</x:t>
        </x:is>
      </x:c>
      <x:c r="F81" s="9" t="inlineStr">
        <x:is>
          <x:t xml:space="preserve">Strategic</x:t>
        </x:is>
      </x:c>
      <x:c r="G81" s="9" t="inlineStr">
        <x:is>
          <x:t xml:space="preserve">Modern Oral</x:t>
        </x:is>
      </x:c>
      <x:c r="H81" s="10" t="n">
        <x:v>393.9</x:v>
      </x:c>
      <x:c r="I81" s="10" t="n">
        <x:v>444.4</x:v>
      </x:c>
      <x:c r="J81" s="11" t="n">
        <x:v>0.1282</x:v>
      </x:c>
      <x:c r="K81" s="10" t="n">
        <x:v>205.9</x:v>
      </x:c>
      <x:c r="L81" s="10" t="n">
        <x:v>229.8</x:v>
      </x:c>
      <x:c r="M81" s="11" t="n">
        <x:v>0.1161</x:v>
      </x:c>
      <x:c r="N81" s="10" t="n">
        <x:v>83.7</x:v>
      </x:c>
      <x:c r="O81" s="16" t="n">
        <x:v>0.4</x:v>
      </x:c>
      <x:c r="P81" s="9" t="inlineStr">
        <x:is>
          <x:t xml:space="preserve">None</x:t>
        </x:is>
      </x:c>
      <x:c r="Q81" s="9" t="inlineStr">
        <x:is>
          <x:t xml:space="preserve">Competitor new launch</x:t>
        </x:is>
      </x:c>
      <x:c r="R81" s="9" t="inlineStr">
        <x:is>
          <x:t xml:space="preserve">Assess shelf and range impact of competitor launch</x:t>
        </x:is>
      </x:c>
      <x:c r="S81" s="9" t="inlineStr">
        <x:is>
          <x:t xml:space="preserve">Channel Manager - Convenience</x:t>
        </x:is>
      </x:c>
      <x:c r="T81" s="17" t="n">
        <x:v>46274</x:v>
      </x:c>
      <x:c r="U81" s="9" t="inlineStr">
        <x:is>
          <x:t xml:space="preserve">Closed</x:t>
        </x:is>
      </x:c>
      <x:c r="V81" s="9" t="inlineStr">
        <x:is>
          <x:t xml:space="preserve">Portfolio</x:t>
        </x:is>
      </x:c>
      <x:c r="W81" s="9" t="inlineStr">
        <x:is>
          <x:t xml:space="preserve">Synthetic - CIE training only</x:t>
        </x:is>
      </x:c>
    </x:row>
    <x:row r="82">
      <x:c r="A82" s="9" t="inlineStr">
        <x:is>
          <x:t xml:space="preserve">TBR-0077</x:t>
        </x:is>
      </x:c>
      <x:c r="B82" s="9" t="inlineStr">
        <x:is>
          <x:t xml:space="preserve">Q3 2026</x:t>
        </x:is>
      </x:c>
      <x:c r="C82" s="9" t="inlineStr">
        <x:is>
          <x:t xml:space="preserve">Hungary</x:t>
        </x:is>
      </x:c>
      <x:c r="D82" s="9" t="inlineStr">
        <x:is>
          <x:t xml:space="preserve">Convenience &amp; Fuel</x:t>
        </x:is>
      </x:c>
      <x:c r="E82" s="9" t="inlineStr">
        <x:is>
          <x:t xml:space="preserve">Quayside Fuel &amp; Go (HU)</x:t>
        </x:is>
      </x:c>
      <x:c r="F82" s="9" t="inlineStr">
        <x:is>
          <x:t xml:space="preserve">Core</x:t>
        </x:is>
      </x:c>
      <x:c r="G82" s="9" t="inlineStr">
        <x:is>
          <x:t xml:space="preserve">Combustibles</x:t>
        </x:is>
      </x:c>
      <x:c r="H82" s="10" t="n">
        <x:v>224.4</x:v>
      </x:c>
      <x:c r="I82" s="10" t="n">
        <x:v>222.5</x:v>
      </x:c>
      <x:c r="J82" s="11" t="n">
        <x:v>-0.008500000000000001</x:v>
      </x:c>
      <x:c r="K82" s="10" t="n">
        <x:v>97.2</x:v>
      </x:c>
      <x:c r="L82" s="10" t="n">
        <x:v>94.7</x:v>
      </x:c>
      <x:c r="M82" s="11" t="n">
        <x:v>-0.0257</x:v>
      </x:c>
      <x:c r="N82" s="10" t="n">
        <x:v>70.40000000000001</x:v>
      </x:c>
      <x:c r="O82" s="16" t="n">
        <x:v>-0.6</x:v>
      </x:c>
      <x:c r="P82" s="9" t="inlineStr">
        <x:is>
          <x:t xml:space="preserve">Standard</x:t>
        </x:is>
      </x:c>
      <x:c r="Q82" s="9" t="inlineStr">
        <x:is>
          <x:t xml:space="preserve">None</x:t>
        </x:is>
      </x:c>
      <x:c r="R82" s="9" t="inlineStr">
        <x:is>
          <x:t xml:space="preserve">None</x:t>
        </x:is>
      </x:c>
      <x:c r="S82" s="9" t="n"/>
      <x:c r="T82" s="17" t="n"/>
      <x:c r="U82" s="9" t="inlineStr">
        <x:is>
          <x:t xml:space="preserve">No action</x:t>
        </x:is>
      </x:c>
      <x:c r="V82" s="9" t="inlineStr">
        <x:is>
          <x:t xml:space="preserve">None</x:t>
        </x:is>
      </x:c>
      <x:c r="W82" s="9" t="inlineStr">
        <x:is>
          <x:t xml:space="preserve">Synthetic - CIE training only</x:t>
        </x:is>
      </x:c>
    </x:row>
    <x:row r="83">
      <x:c r="A83" s="9" t="inlineStr">
        <x:is>
          <x:t xml:space="preserve">TBR-0078</x:t>
        </x:is>
      </x:c>
      <x:c r="B83" s="9" t="inlineStr">
        <x:is>
          <x:t xml:space="preserve">Q3 2026</x:t>
        </x:is>
      </x:c>
      <x:c r="C83" s="9" t="inlineStr">
        <x:is>
          <x:t xml:space="preserve">Hungary</x:t>
        </x:is>
      </x:c>
      <x:c r="D83" s="9" t="inlineStr">
        <x:is>
          <x:t xml:space="preserve">Wholesale</x:t>
        </x:is>
      </x:c>
      <x:c r="E83" s="9" t="inlineStr">
        <x:is>
          <x:t xml:space="preserve">Sunfield Wholesale (HU)</x:t>
        </x:is>
      </x:c>
      <x:c r="F83" s="9" t="inlineStr">
        <x:is>
          <x:t xml:space="preserve">Core</x:t>
        </x:is>
      </x:c>
      <x:c r="G83" s="9" t="inlineStr">
        <x:is>
          <x:t xml:space="preserve">Heated Products</x:t>
        </x:is>
      </x:c>
      <x:c r="H83" s="10" t="n">
        <x:v>660.9</x:v>
      </x:c>
      <x:c r="I83" s="10" t="n">
        <x:v>684.8</x:v>
      </x:c>
      <x:c r="J83" s="11" t="n">
        <x:v>0.0362</x:v>
      </x:c>
      <x:c r="K83" s="10" t="n">
        <x:v>414.1</x:v>
      </x:c>
      <x:c r="L83" s="10" t="n">
        <x:v>390.8</x:v>
      </x:c>
      <x:c r="M83" s="11" t="n">
        <x:v>-0.0563</x:v>
      </x:c>
      <x:c r="N83" s="10" t="n">
        <x:v>57.6</x:v>
      </x:c>
      <x:c r="O83" s="16" t="n">
        <x:v>1.8</x:v>
      </x:c>
      <x:c r="P83" s="9" t="inlineStr">
        <x:is>
          <x:t xml:space="preserve">Intensive</x:t>
        </x:is>
      </x:c>
      <x:c r="Q83" s="9" t="inlineStr">
        <x:is>
          <x:t xml:space="preserve">None</x:t>
        </x:is>
      </x:c>
      <x:c r="R83" s="9" t="inlineStr">
        <x:is>
          <x:t xml:space="preserve">Review promotion ROI before next cycle</x:t>
        </x:is>
      </x:c>
      <x:c r="S83" s="9" t="inlineStr">
        <x:is>
          <x:t xml:space="preserve">Distributor Development Manager</x:t>
        </x:is>
      </x:c>
      <x:c r="T83" s="17" t="n">
        <x:v>46324</x:v>
      </x:c>
      <x:c r="U83" s="9" t="inlineStr">
        <x:is>
          <x:t xml:space="preserve">On track</x:t>
        </x:is>
      </x:c>
      <x:c r="V83" s="9" t="inlineStr">
        <x:is>
          <x:t xml:space="preserve">Trade investment</x:t>
        </x:is>
      </x:c>
      <x:c r="W83" s="9" t="inlineStr">
        <x:is>
          <x:t xml:space="preserve">Synthetic - CIE training only</x:t>
        </x:is>
      </x:c>
    </x:row>
    <x:row r="84">
      <x:c r="A84" s="9" t="inlineStr">
        <x:is>
          <x:t xml:space="preserve">TBR-0079</x:t>
        </x:is>
      </x:c>
      <x:c r="B84" s="9" t="inlineStr">
        <x:is>
          <x:t xml:space="preserve">Q3 2026</x:t>
        </x:is>
      </x:c>
      <x:c r="C84" s="9" t="inlineStr">
        <x:is>
          <x:t xml:space="preserve">Hungary</x:t>
        </x:is>
      </x:c>
      <x:c r="D84" s="9" t="inlineStr">
        <x:is>
          <x:t xml:space="preserve">Wholesale</x:t>
        </x:is>
      </x:c>
      <x:c r="E84" s="9" t="inlineStr">
        <x:is>
          <x:t xml:space="preserve">Tidewater Wholesale (HU)</x:t>
        </x:is>
      </x:c>
      <x:c r="F84" s="9" t="inlineStr">
        <x:is>
          <x:t xml:space="preserve">Strategic</x:t>
        </x:is>
      </x:c>
      <x:c r="G84" s="9" t="inlineStr">
        <x:is>
          <x:t xml:space="preserve">Modern Oral</x:t>
        </x:is>
      </x:c>
      <x:c r="H84" s="10" t="n">
        <x:v>474.2</x:v>
      </x:c>
      <x:c r="I84" s="10" t="n">
        <x:v>533.9</x:v>
      </x:c>
      <x:c r="J84" s="11" t="n">
        <x:v>0.1259</x:v>
      </x:c>
      <x:c r="K84" s="10" t="n">
        <x:v>237.3</x:v>
      </x:c>
      <x:c r="L84" s="10" t="n">
        <x:v>270.3</x:v>
      </x:c>
      <x:c r="M84" s="11" t="n">
        <x:v>0.1391</x:v>
      </x:c>
      <x:c r="N84" s="10" t="n">
        <x:v>81.09999999999999</x:v>
      </x:c>
      <x:c r="O84" s="16" t="n">
        <x:v>-0.2</x:v>
      </x:c>
      <x:c r="P84" s="9" t="inlineStr">
        <x:is>
          <x:t xml:space="preserve">Standard</x:t>
        </x:is>
      </x:c>
      <x:c r="Q84" s="9" t="inlineStr">
        <x:is>
          <x:t xml:space="preserve">None</x:t>
        </x:is>
      </x:c>
      <x:c r="R84" s="9" t="inlineStr">
        <x:is>
          <x:t xml:space="preserve">None</x:t>
        </x:is>
      </x:c>
      <x:c r="S84" s="9" t="n"/>
      <x:c r="T84" s="17" t="n"/>
      <x:c r="U84" s="9" t="inlineStr">
        <x:is>
          <x:t xml:space="preserve">No action</x:t>
        </x:is>
      </x:c>
      <x:c r="V84" s="9" t="inlineStr">
        <x:is>
          <x:t xml:space="preserve">None</x:t>
        </x:is>
      </x:c>
      <x:c r="W84" s="9" t="inlineStr">
        <x:is>
          <x:t xml:space="preserve">Synthetic - CIE training only</x:t>
        </x:is>
      </x:c>
    </x:row>
    <x:row r="85">
      <x:c r="A85" s="9" t="inlineStr">
        <x:is>
          <x:t xml:space="preserve">TBR-0080</x:t>
        </x:is>
      </x:c>
      <x:c r="B85" s="9" t="inlineStr">
        <x:is>
          <x:t xml:space="preserve">Q3 2026</x:t>
        </x:is>
      </x:c>
      <x:c r="C85" s="9" t="inlineStr">
        <x:is>
          <x:t xml:space="preserve">Hungary</x:t>
        </x:is>
      </x:c>
      <x:c r="D85" s="9" t="inlineStr">
        <x:is>
          <x:t xml:space="preserve">Wholesale</x:t>
        </x:is>
      </x:c>
      <x:c r="E85" s="9" t="inlineStr">
        <x:is>
          <x:t xml:space="preserve">Sunfield Wholesale (HU)</x:t>
        </x:is>
      </x:c>
      <x:c r="F85" s="9" t="inlineStr">
        <x:is>
          <x:t xml:space="preserve">Developing</x:t>
        </x:is>
      </x:c>
      <x:c r="G85" s="9" t="inlineStr">
        <x:is>
          <x:t xml:space="preserve">Combustibles</x:t>
        </x:is>
      </x:c>
      <x:c r="H85" s="10" t="n">
        <x:v>515.2</x:v>
      </x:c>
      <x:c r="I85" s="10" t="n">
        <x:v>546.8</x:v>
      </x:c>
      <x:c r="J85" s="11" t="n">
        <x:v>0.0613</x:v>
      </x:c>
      <x:c r="K85" s="10" t="n">
        <x:v>220.7</x:v>
      </x:c>
      <x:c r="L85" s="10" t="n">
        <x:v>214</x:v>
      </x:c>
      <x:c r="M85" s="11" t="n">
        <x:v>-0.0304</x:v>
      </x:c>
      <x:c r="N85" s="10" t="n">
        <x:v>61.4</x:v>
      </x:c>
      <x:c r="O85" s="16" t="n">
        <x:v>1.3</x:v>
      </x:c>
      <x:c r="P85" s="9" t="inlineStr">
        <x:is>
          <x:t xml:space="preserve">Intensive</x:t>
        </x:is>
      </x:c>
      <x:c r="Q85" s="9" t="inlineStr">
        <x:is>
          <x:t xml:space="preserve">None</x:t>
        </x:is>
      </x:c>
      <x:c r="R85" s="9" t="inlineStr">
        <x:is>
          <x:t xml:space="preserve">None</x:t>
        </x:is>
      </x:c>
      <x:c r="S85" s="9" t="n"/>
      <x:c r="T85" s="17" t="n"/>
      <x:c r="U85" s="9" t="inlineStr">
        <x:is>
          <x:t xml:space="preserve">No action</x:t>
        </x:is>
      </x:c>
      <x:c r="V85" s="9" t="inlineStr">
        <x:is>
          <x:t xml:space="preserve">None</x:t>
        </x:is>
      </x:c>
      <x:c r="W85" s="9" t="inlineStr">
        <x:is>
          <x:t xml:space="preserve">Synthetic - CIE training only</x:t>
        </x:is>
      </x:c>
    </x:row>
    <x:row r="86">
      <x:c r="A86" s="9" t="inlineStr">
        <x:is>
          <x:t xml:space="preserve">TBR-0081</x:t>
        </x:is>
      </x:c>
      <x:c r="B86" s="9" t="inlineStr">
        <x:is>
          <x:t xml:space="preserve">Q3 2026</x:t>
        </x:is>
      </x:c>
      <x:c r="C86" s="9" t="inlineStr">
        <x:is>
          <x:t xml:space="preserve">Hungary</x:t>
        </x:is>
      </x:c>
      <x:c r="D86" s="9" t="inlineStr">
        <x:is>
          <x:t xml:space="preserve">Wholesale</x:t>
        </x:is>
      </x:c>
      <x:c r="E86" s="9" t="inlineStr">
        <x:is>
          <x:t xml:space="preserve">Tidewater Wholesale (HU)</x:t>
        </x:is>
      </x:c>
      <x:c r="F86" s="9" t="inlineStr">
        <x:is>
          <x:t xml:space="preserve">Developing</x:t>
        </x:is>
      </x:c>
      <x:c r="G86" s="9" t="inlineStr">
        <x:is>
          <x:t xml:space="preserve">Vapour</x:t>
        </x:is>
      </x:c>
      <x:c r="H86" s="10" t="n">
        <x:v>587.2</x:v>
      </x:c>
      <x:c r="I86" s="10" t="n">
        <x:v>579.2</x:v>
      </x:c>
      <x:c r="J86" s="11" t="n">
        <x:v>-0.0136</x:v>
      </x:c>
      <x:c r="K86" s="10" t="n">
        <x:v>335.8</x:v>
      </x:c>
      <x:c r="L86" s="10" t="n">
        <x:v>326.6</x:v>
      </x:c>
      <x:c r="M86" s="11" t="n">
        <x:v>-0.0274</x:v>
      </x:c>
      <x:c r="N86" s="10" t="n">
        <x:v>72.7</x:v>
      </x:c>
      <x:c r="O86" s="16" t="n">
        <x:v>-0.8</x:v>
      </x:c>
      <x:c r="P86" s="9" t="inlineStr">
        <x:is>
          <x:t xml:space="preserve">None</x:t>
        </x:is>
      </x:c>
      <x:c r="Q86" s="9" t="inlineStr">
        <x:is>
          <x:t xml:space="preserve">None</x:t>
        </x:is>
      </x:c>
      <x:c r="R86" s="9" t="inlineStr">
        <x:is>
          <x:t xml:space="preserve">None</x:t>
        </x:is>
      </x:c>
      <x:c r="S86" s="9" t="n"/>
      <x:c r="T86" s="17" t="n"/>
      <x:c r="U86" s="9" t="inlineStr">
        <x:is>
          <x:t xml:space="preserve">No action</x:t>
        </x:is>
      </x:c>
      <x:c r="V86" s="9" t="inlineStr">
        <x:is>
          <x:t xml:space="preserve">None</x:t>
        </x:is>
      </x:c>
      <x:c r="W86" s="9" t="inlineStr">
        <x:is>
          <x:t xml:space="preserve">Synthetic - CIE training only</x:t>
        </x:is>
      </x:c>
    </x:row>
    <x:row r="87">
      <x:c r="A87" s="9" t="inlineStr">
        <x:is>
          <x:t xml:space="preserve">TBR-0082</x:t>
        </x:is>
      </x:c>
      <x:c r="B87" s="9" t="inlineStr">
        <x:is>
          <x:t xml:space="preserve">Q3 2026</x:t>
        </x:is>
      </x:c>
      <x:c r="C87" s="9" t="inlineStr">
        <x:is>
          <x:t xml:space="preserve">Hungary</x:t>
        </x:is>
      </x:c>
      <x:c r="D87" s="9" t="inlineStr">
        <x:is>
          <x:t xml:space="preserve">Wholesale</x:t>
        </x:is>
      </x:c>
      <x:c r="E87" s="9" t="inlineStr">
        <x:is>
          <x:t xml:space="preserve">Sunfield Wholesale (HU)</x:t>
        </x:is>
      </x:c>
      <x:c r="F87" s="9" t="inlineStr">
        <x:is>
          <x:t xml:space="preserve">Strategic</x:t>
        </x:is>
      </x:c>
      <x:c r="G87" s="9" t="inlineStr">
        <x:is>
          <x:t xml:space="preserve">Combustibles</x:t>
        </x:is>
      </x:c>
      <x:c r="H87" s="10" t="n">
        <x:v>554.3</x:v>
      </x:c>
      <x:c r="I87" s="10" t="n">
        <x:v>571.4</x:v>
      </x:c>
      <x:c r="J87" s="11" t="n">
        <x:v>0.0308</x:v>
      </x:c>
      <x:c r="K87" s="10" t="n">
        <x:v>222</x:v>
      </x:c>
      <x:c r="L87" s="10" t="n">
        <x:v>210.9</x:v>
      </x:c>
      <x:c r="M87" s="11" t="n">
        <x:v>-0.05</x:v>
      </x:c>
      <x:c r="N87" s="10" t="n">
        <x:v>56.4</x:v>
      </x:c>
      <x:c r="O87" s="16" t="n">
        <x:v>0.9</x:v>
      </x:c>
      <x:c r="P87" s="9" t="inlineStr">
        <x:is>
          <x:t xml:space="preserve">Intensive</x:t>
        </x:is>
      </x:c>
      <x:c r="Q87" s="9" t="inlineStr">
        <x:is>
          <x:t xml:space="preserve">None</x:t>
        </x:is>
      </x:c>
      <x:c r="R87" s="9" t="inlineStr">
        <x:is>
          <x:t xml:space="preserve">None</x:t>
        </x:is>
      </x:c>
      <x:c r="S87" s="9" t="n"/>
      <x:c r="T87" s="17" t="n"/>
      <x:c r="U87" s="9" t="inlineStr">
        <x:is>
          <x:t xml:space="preserve">No action</x:t>
        </x:is>
      </x:c>
      <x:c r="V87" s="9" t="inlineStr">
        <x:is>
          <x:t xml:space="preserve">None</x:t>
        </x:is>
      </x:c>
      <x:c r="W87" s="9" t="inlineStr">
        <x:is>
          <x:t xml:space="preserve">Synthetic - CIE training only</x:t>
        </x:is>
      </x:c>
    </x:row>
    <x:row r="88">
      <x:c r="A88" s="9" t="inlineStr">
        <x:is>
          <x:t xml:space="preserve">TBR-0083</x:t>
        </x:is>
      </x:c>
      <x:c r="B88" s="9" t="inlineStr">
        <x:is>
          <x:t xml:space="preserve">Q3 2026</x:t>
        </x:is>
      </x:c>
      <x:c r="C88" s="9" t="inlineStr">
        <x:is>
          <x:t xml:space="preserve">Hungary</x:t>
        </x:is>
      </x:c>
      <x:c r="D88" s="9" t="inlineStr">
        <x:is>
          <x:t xml:space="preserve">Wholesale</x:t>
        </x:is>
      </x:c>
      <x:c r="E88" s="9" t="inlineStr">
        <x:is>
          <x:t xml:space="preserve">Tidewater Wholesale (HU)</x:t>
        </x:is>
      </x:c>
      <x:c r="F88" s="9" t="inlineStr">
        <x:is>
          <x:t xml:space="preserve">Core</x:t>
        </x:is>
      </x:c>
      <x:c r="G88" s="9" t="inlineStr">
        <x:is>
          <x:t xml:space="preserve">Vapour</x:t>
        </x:is>
      </x:c>
      <x:c r="H88" s="10" t="n">
        <x:v>586.9</x:v>
      </x:c>
      <x:c r="I88" s="10" t="n">
        <x:v>610.8</x:v>
      </x:c>
      <x:c r="J88" s="11" t="n">
        <x:v>0.0407</x:v>
      </x:c>
      <x:c r="K88" s="10" t="n">
        <x:v>322.4</x:v>
      </x:c>
      <x:c r="L88" s="10" t="n">
        <x:v>340.4</x:v>
      </x:c>
      <x:c r="M88" s="11" t="n">
        <x:v>0.0558</x:v>
      </x:c>
      <x:c r="N88" s="10" t="n">
        <x:v>67.09999999999999</x:v>
      </x:c>
      <x:c r="O88" s="16" t="n">
        <x:v>0.4</x:v>
      </x:c>
      <x:c r="P88" s="9" t="inlineStr">
        <x:is>
          <x:t xml:space="preserve">None</x:t>
        </x:is>
      </x:c>
      <x:c r="Q88" s="9" t="inlineStr">
        <x:is>
          <x:t xml:space="preserve">None</x:t>
        </x:is>
      </x:c>
      <x:c r="R88" s="9" t="inlineStr">
        <x:is>
          <x:t xml:space="preserve">None</x:t>
        </x:is>
      </x:c>
      <x:c r="S88" s="9" t="n"/>
      <x:c r="T88" s="17" t="n"/>
      <x:c r="U88" s="9" t="inlineStr">
        <x:is>
          <x:t xml:space="preserve">No action</x:t>
        </x:is>
      </x:c>
      <x:c r="V88" s="9" t="inlineStr">
        <x:is>
          <x:t xml:space="preserve">None</x:t>
        </x:is>
      </x:c>
      <x:c r="W88" s="9" t="inlineStr">
        <x:is>
          <x:t xml:space="preserve">Synthetic - CIE training only</x:t>
        </x:is>
      </x:c>
    </x:row>
    <x:row r="89">
      <x:c r="A89" s="9" t="inlineStr">
        <x:is>
          <x:t xml:space="preserve">TBR-0084</x:t>
        </x:is>
      </x:c>
      <x:c r="B89" s="9" t="inlineStr">
        <x:is>
          <x:t xml:space="preserve">Q3 2026</x:t>
        </x:is>
      </x:c>
      <x:c r="C89" s="9" t="inlineStr">
        <x:is>
          <x:t xml:space="preserve">Hungary</x:t>
        </x:is>
      </x:c>
      <x:c r="D89" s="9" t="inlineStr">
        <x:is>
          <x:t xml:space="preserve">Wholesale</x:t>
        </x:is>
      </x:c>
      <x:c r="E89" s="9" t="inlineStr">
        <x:is>
          <x:t xml:space="preserve">Sunfield Wholesale (HU)</x:t>
        </x:is>
      </x:c>
      <x:c r="F89" s="9" t="inlineStr">
        <x:is>
          <x:t xml:space="preserve">Strategic</x:t>
        </x:is>
      </x:c>
      <x:c r="G89" s="9" t="inlineStr">
        <x:is>
          <x:t xml:space="preserve">Vapour</x:t>
        </x:is>
      </x:c>
      <x:c r="H89" s="10" t="n">
        <x:v>332.4</x:v>
      </x:c>
      <x:c r="I89" s="10" t="n">
        <x:v>325.1</x:v>
      </x:c>
      <x:c r="J89" s="11" t="n">
        <x:v>-0.022</x:v>
      </x:c>
      <x:c r="K89" s="10" t="n">
        <x:v>183.5</x:v>
      </x:c>
      <x:c r="L89" s="10" t="n">
        <x:v>181.1</x:v>
      </x:c>
      <x:c r="M89" s="11" t="n">
        <x:v>-0.0131</x:v>
      </x:c>
      <x:c r="N89" s="10" t="n">
        <x:v>82.59999999999999</x:v>
      </x:c>
      <x:c r="O89" s="16" t="n">
        <x:v>-0</x:v>
      </x:c>
      <x:c r="P89" s="9" t="inlineStr">
        <x:is>
          <x:t xml:space="preserve">None</x:t>
        </x:is>
      </x:c>
      <x:c r="Q89" s="9" t="inlineStr">
        <x:is>
          <x:t xml:space="preserve">None</x:t>
        </x:is>
      </x:c>
      <x:c r="R89" s="9" t="inlineStr">
        <x:is>
          <x:t xml:space="preserve">None</x:t>
        </x:is>
      </x:c>
      <x:c r="S89" s="9" t="n"/>
      <x:c r="T89" s="17" t="n"/>
      <x:c r="U89" s="9" t="inlineStr">
        <x:is>
          <x:t xml:space="preserve">No action</x:t>
        </x:is>
      </x:c>
      <x:c r="V89" s="9" t="inlineStr">
        <x:is>
          <x:t xml:space="preserve">None</x:t>
        </x:is>
      </x:c>
      <x:c r="W89" s="9" t="inlineStr">
        <x:is>
          <x:t xml:space="preserve">Synthetic - CIE training only</x:t>
        </x:is>
      </x:c>
    </x:row>
    <x:row r="90">
      <x:c r="A90" s="9" t="inlineStr">
        <x:is>
          <x:t xml:space="preserve">TBR-0085</x:t>
        </x:is>
      </x:c>
      <x:c r="B90" s="9" t="inlineStr">
        <x:is>
          <x:t xml:space="preserve">Q3 2026</x:t>
        </x:is>
      </x:c>
      <x:c r="C90" s="9" t="inlineStr">
        <x:is>
          <x:t xml:space="preserve">Greece</x:t>
        </x:is>
      </x:c>
      <x:c r="D90" s="9" t="inlineStr">
        <x:is>
          <x:t xml:space="preserve">Key Accounts</x:t>
        </x:is>
      </x:c>
      <x:c r="E90" s="9" t="inlineStr">
        <x:is>
          <x:t xml:space="preserve">Amberline Retail Group (GR)</x:t>
        </x:is>
      </x:c>
      <x:c r="F90" s="9" t="inlineStr">
        <x:is>
          <x:t xml:space="preserve">Strategic</x:t>
        </x:is>
      </x:c>
      <x:c r="G90" s="9" t="inlineStr">
        <x:is>
          <x:t xml:space="preserve">Modern Oral</x:t>
        </x:is>
      </x:c>
      <x:c r="H90" s="10" t="n">
        <x:v>486</x:v>
      </x:c>
      <x:c r="I90" s="10" t="n">
        <x:v>533.1</x:v>
      </x:c>
      <x:c r="J90" s="11" t="n">
        <x:v>0.0969</x:v>
      </x:c>
      <x:c r="K90" s="10" t="n">
        <x:v>241.9</x:v>
      </x:c>
      <x:c r="L90" s="10" t="n">
        <x:v>267.5</x:v>
      </x:c>
      <x:c r="M90" s="11" t="n">
        <x:v>0.1058</x:v>
      </x:c>
      <x:c r="N90" s="10" t="n">
        <x:v>76.8</x:v>
      </x:c>
      <x:c r="O90" s="16" t="n">
        <x:v>0.1</x:v>
      </x:c>
      <x:c r="P90" s="9" t="inlineStr">
        <x:is>
          <x:t xml:space="preserve">None</x:t>
        </x:is>
      </x:c>
      <x:c r="Q90" s="9" t="inlineStr">
        <x:is>
          <x:t xml:space="preserve">None</x:t>
        </x:is>
      </x:c>
      <x:c r="R90" s="9" t="inlineStr">
        <x:is>
          <x:t xml:space="preserve">Validate sell-out data feed with distributor</x:t>
        </x:is>
      </x:c>
      <x:c r="S90" s="9" t="inlineStr">
        <x:is>
          <x:t xml:space="preserve">Key Account Manager</x:t>
        </x:is>
      </x:c>
      <x:c r="T90" s="17" t="n">
        <x:v>46277</x:v>
      </x:c>
      <x:c r="U90" s="9" t="inlineStr">
        <x:is>
          <x:t xml:space="preserve">Overdue</x:t>
        </x:is>
      </x:c>
      <x:c r="V90" s="9" t="inlineStr">
        <x:is>
          <x:t xml:space="preserve">Data quality</x:t>
        </x:is>
      </x:c>
      <x:c r="W90" s="9" t="inlineStr">
        <x:is>
          <x:t xml:space="preserve">Synthetic - CIE training only</x:t>
        </x:is>
      </x:c>
    </x:row>
    <x:row r="91">
      <x:c r="A91" s="9" t="inlineStr">
        <x:is>
          <x:t xml:space="preserve">TBR-0086</x:t>
        </x:is>
      </x:c>
      <x:c r="B91" s="9" t="inlineStr">
        <x:is>
          <x:t xml:space="preserve">Q3 2026</x:t>
        </x:is>
      </x:c>
      <x:c r="C91" s="9" t="inlineStr">
        <x:is>
          <x:t xml:space="preserve">Greece</x:t>
        </x:is>
      </x:c>
      <x:c r="D91" s="9" t="inlineStr">
        <x:is>
          <x:t xml:space="preserve">Key Accounts</x:t>
        </x:is>
      </x:c>
      <x:c r="E91" s="9" t="inlineStr">
        <x:is>
          <x:t xml:space="preserve">Northbridge Retail Group (GR)</x:t>
        </x:is>
      </x:c>
      <x:c r="F91" s="9" t="inlineStr">
        <x:is>
          <x:t xml:space="preserve">Core</x:t>
        </x:is>
      </x:c>
      <x:c r="G91" s="9" t="inlineStr">
        <x:is>
          <x:t xml:space="preserve">Combustibles</x:t>
        </x:is>
      </x:c>
      <x:c r="H91" s="10" t="n">
        <x:v>707.7</x:v>
      </x:c>
      <x:c r="I91" s="10" t="n">
        <x:v>714.4</x:v>
      </x:c>
      <x:c r="J91" s="11" t="n">
        <x:v>0.0095</x:v>
      </x:c>
      <x:c r="K91" s="10" t="n">
        <x:v>284.7</x:v>
      </x:c>
      <x:c r="L91" s="10" t="n">
        <x:v>281.9</x:v>
      </x:c>
      <x:c r="M91" s="11" t="n">
        <x:v>-0.0098</x:v>
      </x:c>
      <x:c r="N91" s="10" t="n">
        <x:v>74.8</x:v>
      </x:c>
      <x:c r="O91" s="16" t="n">
        <x:v>-0</x:v>
      </x:c>
      <x:c r="P91" s="9" t="inlineStr">
        <x:is>
          <x:t xml:space="preserve">Standard</x:t>
        </x:is>
      </x:c>
      <x:c r="Q91" s="9" t="inlineStr">
        <x:is>
          <x:t xml:space="preserve">Competitor promotion</x:t>
        </x:is>
      </x:c>
      <x:c r="R91" s="9" t="inlineStr">
        <x:is>
          <x:t xml:space="preserve">Update account plan for Q4</x:t>
        </x:is>
      </x:c>
      <x:c r="S91" s="9" t="inlineStr">
        <x:is>
          <x:t xml:space="preserve">Key Account Manager</x:t>
        </x:is>
      </x:c>
      <x:c r="T91" s="17" t="n">
        <x:v>46278</x:v>
      </x:c>
      <x:c r="U91" s="9" t="inlineStr">
        <x:is>
          <x:t xml:space="preserve">Overdue</x:t>
        </x:is>
      </x:c>
      <x:c r="V91" s="9" t="inlineStr">
        <x:is>
          <x:t xml:space="preserve">None</x:t>
        </x:is>
      </x:c>
      <x:c r="W91" s="9" t="inlineStr">
        <x:is>
          <x:t xml:space="preserve">Synthetic - CIE training only</x:t>
        </x:is>
      </x:c>
    </x:row>
    <x:row r="92">
      <x:c r="A92" s="9" t="inlineStr">
        <x:is>
          <x:t xml:space="preserve">TBR-0087</x:t>
        </x:is>
      </x:c>
      <x:c r="B92" s="9" t="inlineStr">
        <x:is>
          <x:t xml:space="preserve">Q3 2026</x:t>
        </x:is>
      </x:c>
      <x:c r="C92" s="9" t="inlineStr">
        <x:is>
          <x:t xml:space="preserve">Greece</x:t>
        </x:is>
      </x:c>
      <x:c r="D92" s="9" t="inlineStr">
        <x:is>
          <x:t xml:space="preserve">Key Accounts</x:t>
        </x:is>
      </x:c>
      <x:c r="E92" s="9" t="inlineStr">
        <x:is>
          <x:t xml:space="preserve">Amberline Retail Group (GR)</x:t>
        </x:is>
      </x:c>
      <x:c r="F92" s="9" t="inlineStr">
        <x:is>
          <x:t xml:space="preserve">Strategic</x:t>
        </x:is>
      </x:c>
      <x:c r="G92" s="9" t="inlineStr">
        <x:is>
          <x:t xml:space="preserve">Vapour</x:t>
        </x:is>
      </x:c>
      <x:c r="H92" s="10" t="n">
        <x:v>380.4</x:v>
      </x:c>
      <x:c r="I92" s="10" t="n">
        <x:v>396.4</x:v>
      </x:c>
      <x:c r="J92" s="11" t="n">
        <x:v>0.0421</x:v>
      </x:c>
      <x:c r="K92" s="10" t="n">
        <x:v>215.1</x:v>
      </x:c>
      <x:c r="L92" s="10" t="n">
        <x:v>206.4</x:v>
      </x:c>
      <x:c r="M92" s="11" t="n">
        <x:v>-0.0404</x:v>
      </x:c>
      <x:c r="N92" s="10" t="n">
        <x:v>57.5</x:v>
      </x:c>
      <x:c r="O92" s="16" t="n">
        <x:v>-0.3</x:v>
      </x:c>
      <x:c r="P92" s="9" t="inlineStr">
        <x:is>
          <x:t xml:space="preserve">Intensive</x:t>
        </x:is>
      </x:c>
      <x:c r="Q92" s="9" t="inlineStr">
        <x:is>
          <x:t xml:space="preserve">None</x:t>
        </x:is>
      </x:c>
      <x:c r="R92" s="9" t="inlineStr">
        <x:is>
          <x:t xml:space="preserve">Review promotion ROI before next cycle</x:t>
        </x:is>
      </x:c>
      <x:c r="S92" s="9" t="inlineStr">
        <x:is>
          <x:t xml:space="preserve">Key Account Manager</x:t>
        </x:is>
      </x:c>
      <x:c r="T92" s="17" t="n">
        <x:v>46287</x:v>
      </x:c>
      <x:c r="U92" s="9" t="inlineStr">
        <x:is>
          <x:t xml:space="preserve">Closed</x:t>
        </x:is>
      </x:c>
      <x:c r="V92" s="9" t="inlineStr">
        <x:is>
          <x:t xml:space="preserve">Trade investment</x:t>
        </x:is>
      </x:c>
      <x:c r="W92" s="9" t="inlineStr">
        <x:is>
          <x:t xml:space="preserve">Synthetic - CIE training only</x:t>
        </x:is>
      </x:c>
    </x:row>
    <x:row r="93">
      <x:c r="A93" s="9" t="inlineStr">
        <x:is>
          <x:t xml:space="preserve">TBR-0088</x:t>
        </x:is>
      </x:c>
      <x:c r="B93" s="9" t="inlineStr">
        <x:is>
          <x:t xml:space="preserve">Q3 2026</x:t>
        </x:is>
      </x:c>
      <x:c r="C93" s="9" t="inlineStr">
        <x:is>
          <x:t xml:space="preserve">Greece</x:t>
        </x:is>
      </x:c>
      <x:c r="D93" s="9" t="inlineStr">
        <x:is>
          <x:t xml:space="preserve">Key Accounts</x:t>
        </x:is>
      </x:c>
      <x:c r="E93" s="9" t="inlineStr">
        <x:is>
          <x:t xml:space="preserve">Northbridge Retail Group (GR)</x:t>
        </x:is>
      </x:c>
      <x:c r="F93" s="9" t="inlineStr">
        <x:is>
          <x:t xml:space="preserve">Developing</x:t>
        </x:is>
      </x:c>
      <x:c r="G93" s="9" t="inlineStr">
        <x:is>
          <x:t xml:space="preserve">Heated Products</x:t>
        </x:is>
      </x:c>
      <x:c r="H93" s="10" t="n">
        <x:v>691.1</x:v>
      </x:c>
      <x:c r="I93" s="10" t="n">
        <x:v>716.9</x:v>
      </x:c>
      <x:c r="J93" s="11" t="n">
        <x:v>0.0373</x:v>
      </x:c>
      <x:c r="K93" s="10" t="n">
        <x:v>434.2</x:v>
      </x:c>
      <x:c r="L93" s="10" t="n">
        <x:v>440.8</x:v>
      </x:c>
      <x:c r="M93" s="11" t="n">
        <x:v>0.0152</x:v>
      </x:c>
      <x:c r="N93" s="10" t="n">
        <x:v>63.9</x:v>
      </x:c>
      <x:c r="O93" s="16" t="n">
        <x:v>1.8</x:v>
      </x:c>
      <x:c r="P93" s="9" t="inlineStr">
        <x:is>
          <x:t xml:space="preserve">Standard</x:t>
        </x:is>
      </x:c>
      <x:c r="Q93" s="9" t="inlineStr">
        <x:is>
          <x:t xml:space="preserve">Competitor new launch</x:t>
        </x:is>
      </x:c>
      <x:c r="R93" s="9" t="inlineStr">
        <x:is>
          <x:t xml:space="preserve">Assess shelf and range impact of competitor launch</x:t>
        </x:is>
      </x:c>
      <x:c r="S93" s="9" t="inlineStr">
        <x:is>
          <x:t xml:space="preserve">Key Account Manager</x:t>
        </x:is>
      </x:c>
      <x:c r="T93" s="17" t="n">
        <x:v>46268</x:v>
      </x:c>
      <x:c r="U93" s="9" t="inlineStr">
        <x:is>
          <x:t xml:space="preserve">Overdue</x:t>
        </x:is>
      </x:c>
      <x:c r="V93" s="9" t="inlineStr">
        <x:is>
          <x:t xml:space="preserve">Portfolio</x:t>
        </x:is>
      </x:c>
      <x:c r="W93" s="9" t="inlineStr">
        <x:is>
          <x:t xml:space="preserve">Synthetic - CIE training only</x:t>
        </x:is>
      </x:c>
    </x:row>
    <x:row r="94">
      <x:c r="A94" s="9" t="inlineStr">
        <x:is>
          <x:t xml:space="preserve">TBR-0089</x:t>
        </x:is>
      </x:c>
      <x:c r="B94" s="9" t="inlineStr">
        <x:is>
          <x:t xml:space="preserve">Q3 2026</x:t>
        </x:is>
      </x:c>
      <x:c r="C94" s="9" t="inlineStr">
        <x:is>
          <x:t xml:space="preserve">Greece</x:t>
        </x:is>
      </x:c>
      <x:c r="D94" s="9" t="inlineStr">
        <x:is>
          <x:t xml:space="preserve">Key Accounts</x:t>
        </x:is>
      </x:c>
      <x:c r="E94" s="9" t="inlineStr">
        <x:is>
          <x:t xml:space="preserve">Amberline Retail Group (GR)</x:t>
        </x:is>
      </x:c>
      <x:c r="F94" s="9" t="inlineStr">
        <x:is>
          <x:t xml:space="preserve">Strategic</x:t>
        </x:is>
      </x:c>
      <x:c r="G94" s="9" t="inlineStr">
        <x:is>
          <x:t xml:space="preserve">Combustibles</x:t>
        </x:is>
      </x:c>
      <x:c r="H94" s="10" t="n">
        <x:v>754</x:v>
      </x:c>
      <x:c r="I94" s="10" t="n">
        <x:v>724.5</x:v>
      </x:c>
      <x:c r="J94" s="11" t="n">
        <x:v>-0.0391</x:v>
      </x:c>
      <x:c r="K94" s="10" t="n">
        <x:v>308</x:v>
      </x:c>
      <x:c r="L94" s="10" t="n">
        <x:v>297.8</x:v>
      </x:c>
      <x:c r="M94" s="11" t="n">
        <x:v>-0.0331</x:v>
      </x:c>
      <x:c r="N94" s="10" t="n">
        <x:v>78.7</x:v>
      </x:c>
      <x:c r="O94" s="16" t="n">
        <x:v>-0.9</x:v>
      </x:c>
      <x:c r="P94" s="9" t="inlineStr">
        <x:is>
          <x:t xml:space="preserve">None</x:t>
        </x:is>
      </x:c>
      <x:c r="Q94" s="9" t="inlineStr">
        <x:is>
          <x:t xml:space="preserve">Competitor new launch</x:t>
        </x:is>
      </x:c>
      <x:c r="R94" s="9" t="inlineStr">
        <x:is>
          <x:t xml:space="preserve">Assess shelf and range impact of competitor launch</x:t>
        </x:is>
      </x:c>
      <x:c r="S94" s="9" t="inlineStr">
        <x:is>
          <x:t xml:space="preserve">Key Account Manager</x:t>
        </x:is>
      </x:c>
      <x:c r="T94" s="17" t="n">
        <x:v>46337</x:v>
      </x:c>
      <x:c r="U94" s="9" t="inlineStr">
        <x:is>
          <x:t xml:space="preserve">On track</x:t>
        </x:is>
      </x:c>
      <x:c r="V94" s="9" t="inlineStr">
        <x:is>
          <x:t xml:space="preserve">Portfolio</x:t>
        </x:is>
      </x:c>
      <x:c r="W94" s="9" t="inlineStr">
        <x:is>
          <x:t xml:space="preserve">Synthetic - CIE training only</x:t>
        </x:is>
      </x:c>
    </x:row>
    <x:row r="95">
      <x:c r="A95" s="9" t="inlineStr">
        <x:is>
          <x:t xml:space="preserve">TBR-0090</x:t>
        </x:is>
      </x:c>
      <x:c r="B95" s="9" t="inlineStr">
        <x:is>
          <x:t xml:space="preserve">Q3 2026</x:t>
        </x:is>
      </x:c>
      <x:c r="C95" s="9" t="inlineStr">
        <x:is>
          <x:t xml:space="preserve">Greece</x:t>
        </x:is>
      </x:c>
      <x:c r="D95" s="9" t="inlineStr">
        <x:is>
          <x:t xml:space="preserve">Key Accounts</x:t>
        </x:is>
      </x:c>
      <x:c r="E95" s="9" t="inlineStr">
        <x:is>
          <x:t xml:space="preserve">Northbridge Retail Group (GR)</x:t>
        </x:is>
      </x:c>
      <x:c r="F95" s="9" t="inlineStr">
        <x:is>
          <x:t xml:space="preserve">Strategic</x:t>
        </x:is>
      </x:c>
      <x:c r="G95" s="9" t="inlineStr">
        <x:is>
          <x:t xml:space="preserve">Combustibles</x:t>
        </x:is>
      </x:c>
      <x:c r="H95" s="10" t="n">
        <x:v>491.3</x:v>
      </x:c>
      <x:c r="I95" s="10" t="n">
        <x:v>513.4</x:v>
      </x:c>
      <x:c r="J95" s="11" t="n">
        <x:v>0.045</x:v>
      </x:c>
      <x:c r="K95" s="10" t="n">
        <x:v>200.5</x:v>
      </x:c>
      <x:c r="L95" s="10" t="n">
        <x:v>203.3</x:v>
      </x:c>
      <x:c r="M95" s="11" t="n">
        <x:v>0.014</x:v>
      </x:c>
      <x:c r="N95" s="10" t="n">
        <x:v>81.3</x:v>
      </x:c>
      <x:c r="O95" s="16" t="n">
        <x:v>-0.3</x:v>
      </x:c>
      <x:c r="P95" s="9" t="inlineStr">
        <x:is>
          <x:t xml:space="preserve">Standard</x:t>
        </x:is>
      </x:c>
      <x:c r="Q95" s="9" t="inlineStr">
        <x:is>
          <x:t xml:space="preserve">Competitor promotion</x:t>
        </x:is>
      </x:c>
      <x:c r="R95" s="9" t="inlineStr">
        <x:is>
          <x:t xml:space="preserve">Confirm Q4 visit plan and in-store execution checks</x:t>
        </x:is>
      </x:c>
      <x:c r="S95" s="9" t="inlineStr">
        <x:is>
          <x:t xml:space="preserve">Key Account Manager</x:t>
        </x:is>
      </x:c>
      <x:c r="T95" s="17" t="n">
        <x:v>46293</x:v>
      </x:c>
      <x:c r="U95" s="9" t="inlineStr">
        <x:is>
          <x:t xml:space="preserve">Overdue</x:t>
        </x:is>
      </x:c>
      <x:c r="V95" s="9" t="inlineStr">
        <x:is>
          <x:t xml:space="preserve">None</x:t>
        </x:is>
      </x:c>
      <x:c r="W95" s="9" t="inlineStr">
        <x:is>
          <x:t xml:space="preserve">Synthetic - CIE training only</x:t>
        </x:is>
      </x:c>
    </x:row>
    <x:row r="96">
      <x:c r="A96" s="9" t="inlineStr">
        <x:is>
          <x:t xml:space="preserve">TBR-0091</x:t>
        </x:is>
      </x:c>
      <x:c r="B96" s="9" t="inlineStr">
        <x:is>
          <x:t xml:space="preserve">Q3 2026</x:t>
        </x:is>
      </x:c>
      <x:c r="C96" s="9" t="inlineStr">
        <x:is>
          <x:t xml:space="preserve">Greece</x:t>
        </x:is>
      </x:c>
      <x:c r="D96" s="9" t="inlineStr">
        <x:is>
          <x:t xml:space="preserve">Key Accounts</x:t>
        </x:is>
      </x:c>
      <x:c r="E96" s="9" t="inlineStr">
        <x:is>
          <x:t xml:space="preserve">Amberline Retail Group (GR)</x:t>
        </x:is>
      </x:c>
      <x:c r="F96" s="9" t="inlineStr">
        <x:is>
          <x:t xml:space="preserve">Strategic</x:t>
        </x:is>
      </x:c>
      <x:c r="G96" s="9" t="inlineStr">
        <x:is>
          <x:t xml:space="preserve">Combustibles</x:t>
        </x:is>
      </x:c>
      <x:c r="H96" s="10" t="n">
        <x:v>773.6</x:v>
      </x:c>
      <x:c r="I96" s="10" t="n">
        <x:v>743.3</x:v>
      </x:c>
      <x:c r="J96" s="11" t="n">
        <x:v>-0.0392</x:v>
      </x:c>
      <x:c r="K96" s="10" t="n">
        <x:v>329</x:v>
      </x:c>
      <x:c r="L96" s="10" t="n">
        <x:v>317.6</x:v>
      </x:c>
      <x:c r="M96" s="11" t="n">
        <x:v>-0.0347</x:v>
      </x:c>
      <x:c r="N96" s="10" t="n">
        <x:v>81.59999999999999</x:v>
      </x:c>
      <x:c r="O96" s="16" t="n">
        <x:v>0.2</x:v>
      </x:c>
      <x:c r="P96" s="9" t="inlineStr">
        <x:is>
          <x:t xml:space="preserve">None</x:t>
        </x:is>
      </x:c>
      <x:c r="Q96" s="9" t="inlineStr">
        <x:is>
          <x:t xml:space="preserve">None</x:t>
        </x:is>
      </x:c>
      <x:c r="R96" s="9" t="inlineStr">
        <x:is>
          <x:t xml:space="preserve">Validate sell-out data feed with distributor</x:t>
        </x:is>
      </x:c>
      <x:c r="S96" s="9" t="inlineStr">
        <x:is>
          <x:t xml:space="preserve">Key Account Manager</x:t>
        </x:is>
      </x:c>
      <x:c r="T96" s="17" t="n">
        <x:v>46293</x:v>
      </x:c>
      <x:c r="U96" s="9" t="inlineStr">
        <x:is>
          <x:t xml:space="preserve">Overdue</x:t>
        </x:is>
      </x:c>
      <x:c r="V96" s="9" t="inlineStr">
        <x:is>
          <x:t xml:space="preserve">Data quality</x:t>
        </x:is>
      </x:c>
      <x:c r="W96" s="9" t="inlineStr">
        <x:is>
          <x:t xml:space="preserve">Synthetic - CIE training only</x:t>
        </x:is>
      </x:c>
    </x:row>
    <x:row r="97">
      <x:c r="A97" s="9" t="inlineStr">
        <x:is>
          <x:t xml:space="preserve">TBR-0092</x:t>
        </x:is>
      </x:c>
      <x:c r="B97" s="9" t="inlineStr">
        <x:is>
          <x:t xml:space="preserve">Q3 2026</x:t>
        </x:is>
      </x:c>
      <x:c r="C97" s="9" t="inlineStr">
        <x:is>
          <x:t xml:space="preserve">Greece</x:t>
        </x:is>
      </x:c>
      <x:c r="D97" s="9" t="inlineStr">
        <x:is>
          <x:t xml:space="preserve">Traditional Trade</x:t>
        </x:is>
      </x:c>
      <x:c r="E97" s="9" t="inlineStr">
        <x:is>
          <x:t xml:space="preserve">Kestrel Independents Network (GR)</x:t>
        </x:is>
      </x:c>
      <x:c r="F97" s="9" t="inlineStr">
        <x:is>
          <x:t xml:space="preserve">Developing</x:t>
        </x:is>
      </x:c>
      <x:c r="G97" s="9" t="inlineStr">
        <x:is>
          <x:t xml:space="preserve">Modern Oral</x:t>
        </x:is>
      </x:c>
      <x:c r="H97" s="10" t="n">
        <x:v>503.3</x:v>
      </x:c>
      <x:c r="I97" s="10" t="n">
        <x:v>560.5</x:v>
      </x:c>
      <x:c r="J97" s="11" t="n">
        <x:v>0.1136</x:v>
      </x:c>
      <x:c r="K97" s="10" t="n">
        <x:v>248.8</x:v>
      </x:c>
      <x:c r="L97" s="10" t="n">
        <x:v>278.7</x:v>
      </x:c>
      <x:c r="M97" s="11" t="n">
        <x:v>0.1202</x:v>
      </x:c>
      <x:c r="N97" s="10" t="n">
        <x:v>64.59999999999999</x:v>
      </x:c>
      <x:c r="O97" s="16" t="n">
        <x:v>0.3</x:v>
      </x:c>
      <x:c r="P97" s="9" t="inlineStr">
        <x:is>
          <x:t xml:space="preserve">None</x:t>
        </x:is>
      </x:c>
      <x:c r="Q97" s="9" t="inlineStr">
        <x:is>
          <x:t xml:space="preserve">Display space lost</x:t>
        </x:is>
      </x:c>
      <x:c r="R97" s="9" t="inlineStr">
        <x:is>
          <x:t xml:space="preserve">Agree display recovery plan with account (no terms committed)</x:t>
        </x:is>
      </x:c>
      <x:c r="S97" s="9" t="inlineStr">
        <x:is>
          <x:t xml:space="preserve">Area Sales Manager</x:t>
        </x:is>
      </x:c>
      <x:c r="T97" s="17" t="n">
        <x:v>46319</x:v>
      </x:c>
      <x:c r="U97" s="9" t="inlineStr">
        <x:is>
          <x:t xml:space="preserve">On track</x:t>
        </x:is>
      </x:c>
      <x:c r="V97" s="9" t="inlineStr">
        <x:is>
          <x:t xml:space="preserve">Customer terms</x:t>
        </x:is>
      </x:c>
      <x:c r="W97" s="9" t="inlineStr">
        <x:is>
          <x:t xml:space="preserve">Synthetic - CIE training only</x:t>
        </x:is>
      </x:c>
    </x:row>
    <x:row r="98">
      <x:c r="A98" s="9" t="inlineStr">
        <x:is>
          <x:t xml:space="preserve">TBR-0093</x:t>
        </x:is>
      </x:c>
      <x:c r="B98" s="9" t="inlineStr">
        <x:is>
          <x:t xml:space="preserve">Q3 2026</x:t>
        </x:is>
      </x:c>
      <x:c r="C98" s="9" t="inlineStr">
        <x:is>
          <x:t xml:space="preserve">Greece</x:t>
        </x:is>
      </x:c>
      <x:c r="D98" s="9" t="inlineStr">
        <x:is>
          <x:t xml:space="preserve">Traditional Trade</x:t>
        </x:is>
      </x:c>
      <x:c r="E98" s="9" t="inlineStr">
        <x:is>
          <x:t xml:space="preserve">Silverbay Independents Network (GR)</x:t>
        </x:is>
      </x:c>
      <x:c r="F98" s="9" t="inlineStr">
        <x:is>
          <x:t xml:space="preserve">Core</x:t>
        </x:is>
      </x:c>
      <x:c r="G98" s="9" t="inlineStr">
        <x:is>
          <x:t xml:space="preserve">Combustibles</x:t>
        </x:is>
      </x:c>
      <x:c r="H98" s="10" t="n">
        <x:v>397.1</x:v>
      </x:c>
      <x:c r="I98" s="10" t="n">
        <x:v>373.6</x:v>
      </x:c>
      <x:c r="J98" s="11" t="n">
        <x:v>-0.0592</x:v>
      </x:c>
      <x:c r="K98" s="10" t="n">
        <x:v>164.2</x:v>
      </x:c>
      <x:c r="L98" s="10" t="n">
        <x:v>157.9</x:v>
      </x:c>
      <x:c r="M98" s="11" t="n">
        <x:v>-0.0384</x:v>
      </x:c>
      <x:c r="N98" s="10" t="n">
        <x:v>76.5</x:v>
      </x:c>
      <x:c r="O98" s="16" t="n">
        <x:v>2.1</x:v>
      </x:c>
      <x:c r="P98" s="9" t="inlineStr">
        <x:is>
          <x:t xml:space="preserve">None</x:t>
        </x:is>
      </x:c>
      <x:c r="Q98" s="9" t="inlineStr">
        <x:is>
          <x:t xml:space="preserve">None</x:t>
        </x:is>
      </x:c>
      <x:c r="R98" s="9" t="inlineStr">
        <x:is>
          <x:t xml:space="preserve">Confirm Q4 visit plan and in-store execution checks</x:t>
        </x:is>
      </x:c>
      <x:c r="S98" s="9" t="inlineStr">
        <x:is>
          <x:t xml:space="preserve">Area Sales Manager</x:t>
        </x:is>
      </x:c>
      <x:c r="T98" s="17" t="n">
        <x:v>46289</x:v>
      </x:c>
      <x:c r="U98" s="9" t="inlineStr">
        <x:is>
          <x:t xml:space="preserve">Closed</x:t>
        </x:is>
      </x:c>
      <x:c r="V98" s="9" t="inlineStr">
        <x:is>
          <x:t xml:space="preserve">None</x:t>
        </x:is>
      </x:c>
      <x:c r="W98" s="9" t="inlineStr">
        <x:is>
          <x:t xml:space="preserve">Synthetic - CIE training only</x:t>
        </x:is>
      </x:c>
    </x:row>
    <x:row r="99">
      <x:c r="A99" s="9" t="inlineStr">
        <x:is>
          <x:t xml:space="preserve">TBR-0094</x:t>
        </x:is>
      </x:c>
      <x:c r="B99" s="9" t="inlineStr">
        <x:is>
          <x:t xml:space="preserve">Q3 2026</x:t>
        </x:is>
      </x:c>
      <x:c r="C99" s="9" t="inlineStr">
        <x:is>
          <x:t xml:space="preserve">Greece</x:t>
        </x:is>
      </x:c>
      <x:c r="D99" s="9" t="inlineStr">
        <x:is>
          <x:t xml:space="preserve">Traditional Trade</x:t>
        </x:is>
      </x:c>
      <x:c r="E99" s="9" t="inlineStr">
        <x:is>
          <x:t xml:space="preserve">Kestrel Independents Network (GR)</x:t>
        </x:is>
      </x:c>
      <x:c r="F99" s="9" t="inlineStr">
        <x:is>
          <x:t xml:space="preserve">Developing</x:t>
        </x:is>
      </x:c>
      <x:c r="G99" s="9" t="inlineStr">
        <x:is>
          <x:t xml:space="preserve">Vapour</x:t>
        </x:is>
      </x:c>
      <x:c r="H99" s="10" t="n">
        <x:v>436.9</x:v>
      </x:c>
      <x:c r="I99" s="10" t="n">
        <x:v>455.9</x:v>
      </x:c>
      <x:c r="J99" s="11" t="n">
        <x:v>0.0435</x:v>
      </x:c>
      <x:c r="K99" s="10" t="n">
        <x:v>230.9</x:v>
      </x:c>
      <x:c r="L99" s="10" t="n">
        <x:v>237.5</x:v>
      </x:c>
      <x:c r="M99" s="11" t="n">
        <x:v>0.0286</x:v>
      </x:c>
      <x:c r="N99" s="10" t="n">
        <x:v>67.90000000000001</x:v>
      </x:c>
      <x:c r="O99" s="16" t="n">
        <x:v>-0.6</x:v>
      </x:c>
      <x:c r="P99" s="9" t="inlineStr">
        <x:is>
          <x:t xml:space="preserve">Standard</x:t>
        </x:is>
      </x:c>
      <x:c r="Q99" s="9" t="inlineStr">
        <x:is>
          <x:t xml:space="preserve">Competitor new launch</x:t>
        </x:is>
      </x:c>
      <x:c r="R99" s="9" t="inlineStr">
        <x:is>
          <x:t xml:space="preserve">Assess shelf and range impact of competitor launch</x:t>
        </x:is>
      </x:c>
      <x:c r="S99" s="9" t="inlineStr">
        <x:is>
          <x:t xml:space="preserve">Area Sales Manager</x:t>
        </x:is>
      </x:c>
      <x:c r="T99" s="17" t="n">
        <x:v>46277</x:v>
      </x:c>
      <x:c r="U99" s="9" t="inlineStr">
        <x:is>
          <x:t xml:space="preserve">Closed</x:t>
        </x:is>
      </x:c>
      <x:c r="V99" s="9" t="inlineStr">
        <x:is>
          <x:t xml:space="preserve">Portfolio</x:t>
        </x:is>
      </x:c>
      <x:c r="W99" s="9" t="inlineStr">
        <x:is>
          <x:t xml:space="preserve">Synthetic - CIE training only</x:t>
        </x:is>
      </x:c>
    </x:row>
    <x:row r="100">
      <x:c r="A100" s="9" t="inlineStr">
        <x:is>
          <x:t xml:space="preserve">TBR-0095</x:t>
        </x:is>
      </x:c>
      <x:c r="B100" s="9" t="inlineStr">
        <x:is>
          <x:t xml:space="preserve">Q3 2026</x:t>
        </x:is>
      </x:c>
      <x:c r="C100" s="9" t="inlineStr">
        <x:is>
          <x:t xml:space="preserve">Greece</x:t>
        </x:is>
      </x:c>
      <x:c r="D100" s="9" t="inlineStr">
        <x:is>
          <x:t xml:space="preserve">Traditional Trade</x:t>
        </x:is>
      </x:c>
      <x:c r="E100" s="9" t="inlineStr">
        <x:is>
          <x:t xml:space="preserve">Silverbay Independents Network (GR)</x:t>
        </x:is>
      </x:c>
      <x:c r="F100" s="9" t="inlineStr">
        <x:is>
          <x:t xml:space="preserve">Developing</x:t>
        </x:is>
      </x:c>
      <x:c r="G100" s="9" t="inlineStr">
        <x:is>
          <x:t xml:space="preserve">Heated Products</x:t>
        </x:is>
      </x:c>
      <x:c r="H100" s="10" t="n">
        <x:v>337.5</x:v>
      </x:c>
      <x:c r="I100" s="10" t="n">
        <x:v>356.7</x:v>
      </x:c>
      <x:c r="J100" s="11" t="n">
        <x:v>0.0569</x:v>
      </x:c>
      <x:c r="K100" s="10" t="n">
        <x:v>202.1</x:v>
      </x:c>
      <x:c r="L100" s="10" t="n">
        <x:v>196.7</x:v>
      </x:c>
      <x:c r="M100" s="11" t="n">
        <x:v>-0.0267</x:v>
      </x:c>
      <x:c r="N100" s="10" t="n">
        <x:v>64.90000000000001</x:v>
      </x:c>
      <x:c r="O100" s="16" t="n">
        <x:v>-0.2</x:v>
      </x:c>
      <x:c r="P100" s="9" t="inlineStr">
        <x:is>
          <x:t xml:space="preserve">Intensive</x:t>
        </x:is>
      </x:c>
      <x:c r="Q100" s="9" t="inlineStr">
        <x:is>
          <x:t xml:space="preserve">Competitor new launch</x:t>
        </x:is>
      </x:c>
      <x:c r="R100" s="9" t="inlineStr">
        <x:is>
          <x:t xml:space="preserve">Assess shelf and range impact of competitor launch</x:t>
        </x:is>
      </x:c>
      <x:c r="S100" s="9" t="inlineStr">
        <x:is>
          <x:t xml:space="preserve">Area Sales Manager</x:t>
        </x:is>
      </x:c>
      <x:c r="T100" s="17" t="n">
        <x:v>46270</x:v>
      </x:c>
      <x:c r="U100" s="9" t="inlineStr">
        <x:is>
          <x:t xml:space="preserve">Overdue</x:t>
        </x:is>
      </x:c>
      <x:c r="V100" s="9" t="inlineStr">
        <x:is>
          <x:t xml:space="preserve">Portfolio</x:t>
        </x:is>
      </x:c>
      <x:c r="W100" s="9" t="inlineStr">
        <x:is>
          <x:t xml:space="preserve">Synthetic - CIE training only</x:t>
        </x:is>
      </x:c>
    </x:row>
    <x:row r="101">
      <x:c r="A101" s="9" t="inlineStr">
        <x:is>
          <x:t xml:space="preserve">TBR-0096</x:t>
        </x:is>
      </x:c>
      <x:c r="B101" s="9" t="inlineStr">
        <x:is>
          <x:t xml:space="preserve">Q3 2026</x:t>
        </x:is>
      </x:c>
      <x:c r="C101" s="9" t="inlineStr">
        <x:is>
          <x:t xml:space="preserve">Greece</x:t>
        </x:is>
      </x:c>
      <x:c r="D101" s="9" t="inlineStr">
        <x:is>
          <x:t xml:space="preserve">Traditional Trade</x:t>
        </x:is>
      </x:c>
      <x:c r="E101" s="9" t="inlineStr">
        <x:is>
          <x:t xml:space="preserve">Kestrel Independents Network (GR)</x:t>
        </x:is>
      </x:c>
      <x:c r="F101" s="9" t="inlineStr">
        <x:is>
          <x:t xml:space="preserve">Core</x:t>
        </x:is>
      </x:c>
      <x:c r="G101" s="9" t="inlineStr">
        <x:is>
          <x:t xml:space="preserve">Combustibles</x:t>
        </x:is>
      </x:c>
      <x:c r="H101" s="10" t="n">
        <x:v>447.5</x:v>
      </x:c>
      <x:c r="I101" s="10" t="n">
        <x:v>440.3</x:v>
      </x:c>
      <x:c r="J101" s="11" t="n">
        <x:v>-0.0161</x:v>
      </x:c>
      <x:c r="K101" s="10" t="n">
        <x:v>192.6</x:v>
      </x:c>
      <x:c r="L101" s="10" t="n">
        <x:v>180</x:v>
      </x:c>
      <x:c r="M101" s="11" t="n">
        <x:v>-0.0654</x:v>
      </x:c>
      <x:c r="N101" s="10" t="n">
        <x:v>75.2</x:v>
      </x:c>
      <x:c r="O101" s="16" t="n">
        <x:v>1.5</x:v>
      </x:c>
      <x:c r="P101" s="9" t="inlineStr">
        <x:is>
          <x:t xml:space="preserve">Intensive</x:t>
        </x:is>
      </x:c>
      <x:c r="Q101" s="9" t="inlineStr">
        <x:is>
          <x:t xml:space="preserve">None</x:t>
        </x:is>
      </x:c>
      <x:c r="R101" s="9" t="inlineStr">
        <x:is>
          <x:t xml:space="preserve">Review promotion ROI before next cycle</x:t>
        </x:is>
      </x:c>
      <x:c r="S101" s="9" t="inlineStr">
        <x:is>
          <x:t xml:space="preserve">Area Sales Manager</x:t>
        </x:is>
      </x:c>
      <x:c r="T101" s="17" t="n">
        <x:v>46274</x:v>
      </x:c>
      <x:c r="U101" s="9" t="inlineStr">
        <x:is>
          <x:t xml:space="preserve">Closed</x:t>
        </x:is>
      </x:c>
      <x:c r="V101" s="9" t="inlineStr">
        <x:is>
          <x:t xml:space="preserve">Trade investment</x:t>
        </x:is>
      </x:c>
      <x:c r="W101" s="9" t="inlineStr">
        <x:is>
          <x:t xml:space="preserve">Synthetic - CIE training only</x:t>
        </x:is>
      </x:c>
    </x:row>
    <x:row r="102">
      <x:c r="A102" s="9" t="inlineStr">
        <x:is>
          <x:t xml:space="preserve">TBR-0097</x:t>
        </x:is>
      </x:c>
      <x:c r="B102" s="9" t="inlineStr">
        <x:is>
          <x:t xml:space="preserve">Q3 2026</x:t>
        </x:is>
      </x:c>
      <x:c r="C102" s="9" t="inlineStr">
        <x:is>
          <x:t xml:space="preserve">Greece</x:t>
        </x:is>
      </x:c>
      <x:c r="D102" s="9" t="inlineStr">
        <x:is>
          <x:t xml:space="preserve">Traditional Trade</x:t>
        </x:is>
      </x:c>
      <x:c r="E102" s="9" t="inlineStr">
        <x:is>
          <x:t xml:space="preserve">Silverbay Independents Network (GR)</x:t>
        </x:is>
      </x:c>
      <x:c r="F102" s="9" t="inlineStr">
        <x:is>
          <x:t xml:space="preserve">Developing</x:t>
        </x:is>
      </x:c>
      <x:c r="G102" s="9" t="inlineStr">
        <x:is>
          <x:t xml:space="preserve">Vapour</x:t>
        </x:is>
      </x:c>
      <x:c r="H102" s="10" t="n">
        <x:v>436.6</x:v>
      </x:c>
      <x:c r="I102" s="10" t="n">
        <x:v>450.2</x:v>
      </x:c>
      <x:c r="J102" s="11" t="n">
        <x:v>0.0311</x:v>
      </x:c>
      <x:c r="K102" s="10" t="n">
        <x:v>246.6</x:v>
      </x:c>
      <x:c r="L102" s="10" t="n">
        <x:v>250.1</x:v>
      </x:c>
      <x:c r="M102" s="11" t="n">
        <x:v>0.0142</x:v>
      </x:c>
      <x:c r="N102" s="10" t="n">
        <x:v>55.2</x:v>
      </x:c>
      <x:c r="O102" s="16" t="n">
        <x:v>-0.4</x:v>
      </x:c>
      <x:c r="P102" s="9" t="inlineStr">
        <x:is>
          <x:t xml:space="preserve">Standard</x:t>
        </x:is>
      </x:c>
      <x:c r="Q102" s="9" t="inlineStr">
        <x:is>
          <x:t xml:space="preserve">Competitor promotion</x:t>
        </x:is>
      </x:c>
      <x:c r="R102" s="9" t="inlineStr">
        <x:is>
          <x:t xml:space="preserve">Confirm Q4 visit plan and in-store execution checks</x:t>
        </x:is>
      </x:c>
      <x:c r="S102" s="9" t="inlineStr">
        <x:is>
          <x:t xml:space="preserve">Area Sales Manager</x:t>
        </x:is>
      </x:c>
      <x:c r="T102" s="17" t="n">
        <x:v>46286</x:v>
      </x:c>
      <x:c r="U102" s="9" t="inlineStr">
        <x:is>
          <x:t xml:space="preserve">Overdue</x:t>
        </x:is>
      </x:c>
      <x:c r="V102" s="9" t="inlineStr">
        <x:is>
          <x:t xml:space="preserve">None</x:t>
        </x:is>
      </x:c>
      <x:c r="W102" s="9" t="inlineStr">
        <x:is>
          <x:t xml:space="preserve">Synthetic - CIE training only</x:t>
        </x:is>
      </x:c>
    </x:row>
    <x:row r="103">
      <x:c r="A103" s="9" t="inlineStr">
        <x:is>
          <x:t xml:space="preserve">TBR-0098</x:t>
        </x:is>
      </x:c>
      <x:c r="B103" s="9" t="inlineStr">
        <x:is>
          <x:t xml:space="preserve">Q3 2026</x:t>
        </x:is>
      </x:c>
      <x:c r="C103" s="9" t="inlineStr">
        <x:is>
          <x:t xml:space="preserve">Greece</x:t>
        </x:is>
      </x:c>
      <x:c r="D103" s="9" t="inlineStr">
        <x:is>
          <x:t xml:space="preserve">Traditional Trade</x:t>
        </x:is>
      </x:c>
      <x:c r="E103" s="9" t="inlineStr">
        <x:is>
          <x:t xml:space="preserve">Kestrel Independents Network (GR)</x:t>
        </x:is>
      </x:c>
      <x:c r="F103" s="9" t="inlineStr">
        <x:is>
          <x:t xml:space="preserve">Developing</x:t>
        </x:is>
      </x:c>
      <x:c r="G103" s="9" t="inlineStr">
        <x:is>
          <x:t xml:space="preserve">Vapour</x:t>
        </x:is>
      </x:c>
      <x:c r="H103" s="10" t="n">
        <x:v>526.7</x:v>
      </x:c>
      <x:c r="I103" s="10" t="n">
        <x:v>548.1</x:v>
      </x:c>
      <x:c r="J103" s="11" t="n">
        <x:v>0.0406</x:v>
      </x:c>
      <x:c r="K103" s="10" t="n">
        <x:v>295.2</x:v>
      </x:c>
      <x:c r="L103" s="10" t="n">
        <x:v>279.7</x:v>
      </x:c>
      <x:c r="M103" s="11" t="n">
        <x:v>-0.0525</x:v>
      </x:c>
      <x:c r="N103" s="10" t="n">
        <x:v>68.09999999999999</x:v>
      </x:c>
      <x:c r="O103" s="16" t="n">
        <x:v>-0.4</x:v>
      </x:c>
      <x:c r="P103" s="9" t="inlineStr">
        <x:is>
          <x:t xml:space="preserve">Intensive</x:t>
        </x:is>
      </x:c>
      <x:c r="Q103" s="9" t="inlineStr">
        <x:is>
          <x:t xml:space="preserve">None</x:t>
        </x:is>
      </x:c>
      <x:c r="R103" s="9" t="inlineStr">
        <x:is>
          <x:t xml:space="preserve">None</x:t>
        </x:is>
      </x:c>
      <x:c r="S103" s="9" t="n"/>
      <x:c r="T103" s="17" t="n"/>
      <x:c r="U103" s="9" t="inlineStr">
        <x:is>
          <x:t xml:space="preserve">No action</x:t>
        </x:is>
      </x:c>
      <x:c r="V103" s="9" t="inlineStr">
        <x:is>
          <x:t xml:space="preserve">None</x:t>
        </x:is>
      </x:c>
      <x:c r="W103" s="9" t="inlineStr">
        <x:is>
          <x:t xml:space="preserve">Synthetic - CIE training only</x:t>
        </x:is>
      </x:c>
    </x:row>
    <x:row r="104">
      <x:c r="A104" s="9" t="inlineStr">
        <x:is>
          <x:t xml:space="preserve">TBR-0099</x:t>
        </x:is>
      </x:c>
      <x:c r="B104" s="9" t="inlineStr">
        <x:is>
          <x:t xml:space="preserve">Q3 2026</x:t>
        </x:is>
      </x:c>
      <x:c r="C104" s="9" t="inlineStr">
        <x:is>
          <x:t xml:space="preserve">Greece</x:t>
        </x:is>
      </x:c>
      <x:c r="D104" s="9" t="inlineStr">
        <x:is>
          <x:t xml:space="preserve">Convenience &amp; Fuel</x:t>
        </x:is>
      </x:c>
      <x:c r="E104" s="9" t="inlineStr">
        <x:is>
          <x:t xml:space="preserve">Orchard Lane Fuel &amp; Go (GR)</x:t>
        </x:is>
      </x:c>
      <x:c r="F104" s="9" t="inlineStr">
        <x:is>
          <x:t xml:space="preserve">Strategic</x:t>
        </x:is>
      </x:c>
      <x:c r="G104" s="9" t="inlineStr">
        <x:is>
          <x:t xml:space="preserve">Modern Oral</x:t>
        </x:is>
      </x:c>
      <x:c r="H104" s="10" t="n">
        <x:v>255.9</x:v>
      </x:c>
      <x:c r="I104" s="10" t="n">
        <x:v>300.7</x:v>
      </x:c>
      <x:c r="J104" s="11" t="n">
        <x:v>0.1751</x:v>
      </x:c>
      <x:c r="K104" s="10" t="n">
        <x:v>129.2</x:v>
      </x:c>
      <x:c r="L104" s="10" t="n">
        <x:v>141.2</x:v>
      </x:c>
      <x:c r="M104" s="11" t="n">
        <x:v>0.0929</x:v>
      </x:c>
      <x:c r="N104" s="10" t="n">
        <x:v>72.40000000000001</x:v>
      </x:c>
      <x:c r="O104" s="16" t="n">
        <x:v>1</x:v>
      </x:c>
      <x:c r="P104" s="9" t="inlineStr">
        <x:is>
          <x:t xml:space="preserve">Intensive</x:t>
        </x:is>
      </x:c>
      <x:c r="Q104" s="9" t="inlineStr">
        <x:is>
          <x:t xml:space="preserve">Competitor promotion</x:t>
        </x:is>
      </x:c>
      <x:c r="R104" s="9" t="inlineStr">
        <x:is>
          <x:t xml:space="preserve">Review promotion ROI before next cycle</x:t>
        </x:is>
      </x:c>
      <x:c r="S104" s="9" t="inlineStr">
        <x:is>
          <x:t xml:space="preserve">Channel Manager - Convenience</x:t>
        </x:is>
      </x:c>
      <x:c r="T104" s="17" t="n">
        <x:v>46288</x:v>
      </x:c>
      <x:c r="U104" s="9" t="inlineStr">
        <x:is>
          <x:t xml:space="preserve">Overdue</x:t>
        </x:is>
      </x:c>
      <x:c r="V104" s="9" t="inlineStr">
        <x:is>
          <x:t xml:space="preserve">Trade investment</x:t>
        </x:is>
      </x:c>
      <x:c r="W104" s="9" t="inlineStr">
        <x:is>
          <x:t xml:space="preserve">Synthetic - CIE training only</x:t>
        </x:is>
      </x:c>
    </x:row>
    <x:row r="105">
      <x:c r="A105" s="9" t="inlineStr">
        <x:is>
          <x:t xml:space="preserve">TBR-0100</x:t>
        </x:is>
      </x:c>
      <x:c r="B105" s="9" t="inlineStr">
        <x:is>
          <x:t xml:space="preserve">Q3 2026</x:t>
        </x:is>
      </x:c>
      <x:c r="C105" s="9" t="inlineStr">
        <x:is>
          <x:t xml:space="preserve">Greece</x:t>
        </x:is>
      </x:c>
      <x:c r="D105" s="9" t="inlineStr">
        <x:is>
          <x:t xml:space="preserve">Convenience &amp; Fuel</x:t>
        </x:is>
      </x:c>
      <x:c r="E105" s="9" t="inlineStr">
        <x:is>
          <x:t xml:space="preserve">Bluehaven Fuel &amp; Go (GR)</x:t>
        </x:is>
      </x:c>
      <x:c r="F105" s="9" t="inlineStr">
        <x:is>
          <x:t xml:space="preserve">Core</x:t>
        </x:is>
      </x:c>
      <x:c r="G105" s="9" t="inlineStr">
        <x:is>
          <x:t xml:space="preserve">Combustibles</x:t>
        </x:is>
      </x:c>
      <x:c r="H105" s="10" t="n">
        <x:v>335.7</x:v>
      </x:c>
      <x:c r="I105" s="10" t="n">
        <x:v>336.2</x:v>
      </x:c>
      <x:c r="J105" s="11" t="n">
        <x:v>0.0015</x:v>
      </x:c>
      <x:c r="K105" s="10" t="n">
        <x:v>135.8</x:v>
      </x:c>
      <x:c r="L105" s="10" t="n">
        <x:v>134.4</x:v>
      </x:c>
      <x:c r="M105" s="11" t="n">
        <x:v>-0.0103</x:v>
      </x:c>
      <x:c r="N105" s="10" t="n">
        <x:v>78.2</x:v>
      </x:c>
      <x:c r="O105" s="16" t="n">
        <x:v>0.2</x:v>
      </x:c>
      <x:c r="P105" s="9" t="inlineStr">
        <x:is>
          <x:t xml:space="preserve">None</x:t>
        </x:is>
      </x:c>
      <x:c r="Q105" s="9" t="inlineStr">
        <x:is>
          <x:t xml:space="preserve">None</x:t>
        </x:is>
      </x:c>
      <x:c r="R105" s="9" t="inlineStr">
        <x:is>
          <x:t xml:space="preserve">Update account plan for Q4</x:t>
        </x:is>
      </x:c>
      <x:c r="S105" s="9" t="inlineStr">
        <x:is>
          <x:t xml:space="preserve">Channel Manager - Convenience</x:t>
        </x:is>
      </x:c>
      <x:c r="T105" s="17" t="n">
        <x:v>46275</x:v>
      </x:c>
      <x:c r="U105" s="9" t="inlineStr">
        <x:is>
          <x:t xml:space="preserve">Overdue</x:t>
        </x:is>
      </x:c>
      <x:c r="V105" s="9" t="inlineStr">
        <x:is>
          <x:t xml:space="preserve">None</x:t>
        </x:is>
      </x:c>
      <x:c r="W105" s="9" t="inlineStr">
        <x:is>
          <x:t xml:space="preserve">Synthetic - CIE training only</x:t>
        </x:is>
      </x:c>
    </x:row>
    <x:row r="106">
      <x:c r="A106" s="9" t="inlineStr">
        <x:is>
          <x:t xml:space="preserve">TBR-0101</x:t>
        </x:is>
      </x:c>
      <x:c r="B106" s="9" t="inlineStr">
        <x:is>
          <x:t xml:space="preserve">Q3 2026</x:t>
        </x:is>
      </x:c>
      <x:c r="C106" s="9" t="inlineStr">
        <x:is>
          <x:t xml:space="preserve">Greece</x:t>
        </x:is>
      </x:c>
      <x:c r="D106" s="9" t="inlineStr">
        <x:is>
          <x:t xml:space="preserve">Convenience &amp; Fuel</x:t>
        </x:is>
      </x:c>
      <x:c r="E106" s="9" t="inlineStr">
        <x:is>
          <x:t xml:space="preserve">Orchard Lane Fuel &amp; Go (GR)</x:t>
        </x:is>
      </x:c>
      <x:c r="F106" s="9" t="inlineStr">
        <x:is>
          <x:t xml:space="preserve">Core</x:t>
        </x:is>
      </x:c>
      <x:c r="G106" s="9" t="inlineStr">
        <x:is>
          <x:t xml:space="preserve">Vapour</x:t>
        </x:is>
      </x:c>
      <x:c r="H106" s="10" t="n">
        <x:v>335.9</x:v>
      </x:c>
      <x:c r="I106" s="10" t="n">
        <x:v>347.8</x:v>
      </x:c>
      <x:c r="J106" s="11" t="n">
        <x:v>0.0354</x:v>
      </x:c>
      <x:c r="K106" s="10" t="n">
        <x:v>185.8</x:v>
      </x:c>
      <x:c r="L106" s="10" t="n">
        <x:v>190.2</x:v>
      </x:c>
      <x:c r="M106" s="11" t="n">
        <x:v>0.0237</x:v>
      </x:c>
      <x:c r="N106" s="10" t="n">
        <x:v>69.59999999999999</x:v>
      </x:c>
      <x:c r="O106" s="16" t="n">
        <x:v>0.7</x:v>
      </x:c>
      <x:c r="P106" s="9" t="inlineStr">
        <x:is>
          <x:t xml:space="preserve">Standard</x:t>
        </x:is>
      </x:c>
      <x:c r="Q106" s="9" t="inlineStr">
        <x:is>
          <x:t xml:space="preserve">Display space lost</x:t>
        </x:is>
      </x:c>
      <x:c r="R106" s="9" t="inlineStr">
        <x:is>
          <x:t xml:space="preserve">Agree display recovery plan with account (no terms committed)</x:t>
        </x:is>
      </x:c>
      <x:c r="S106" s="9" t="inlineStr">
        <x:is>
          <x:t xml:space="preserve">Channel Manager - Convenience</x:t>
        </x:is>
      </x:c>
      <x:c r="T106" s="17" t="n">
        <x:v>46279</x:v>
      </x:c>
      <x:c r="U106" s="9" t="inlineStr">
        <x:is>
          <x:t xml:space="preserve">Overdue</x:t>
        </x:is>
      </x:c>
      <x:c r="V106" s="9" t="inlineStr">
        <x:is>
          <x:t xml:space="preserve">Customer terms</x:t>
        </x:is>
      </x:c>
      <x:c r="W106" s="9" t="inlineStr">
        <x:is>
          <x:t xml:space="preserve">Synthetic - CIE training only</x:t>
        </x:is>
      </x:c>
    </x:row>
    <x:row r="107">
      <x:c r="A107" s="9" t="inlineStr">
        <x:is>
          <x:t xml:space="preserve">TBR-0102</x:t>
        </x:is>
      </x:c>
      <x:c r="B107" s="9" t="inlineStr">
        <x:is>
          <x:t xml:space="preserve">Q3 2026</x:t>
        </x:is>
      </x:c>
      <x:c r="C107" s="9" t="inlineStr">
        <x:is>
          <x:t xml:space="preserve">Greece</x:t>
        </x:is>
      </x:c>
      <x:c r="D107" s="9" t="inlineStr">
        <x:is>
          <x:t xml:space="preserve">Convenience &amp; Fuel</x:t>
        </x:is>
      </x:c>
      <x:c r="E107" s="9" t="inlineStr">
        <x:is>
          <x:t xml:space="preserve">Bluehaven Fuel &amp; Go (GR)</x:t>
        </x:is>
      </x:c>
      <x:c r="F107" s="9" t="inlineStr">
        <x:is>
          <x:t xml:space="preserve">Strategic</x:t>
        </x:is>
      </x:c>
      <x:c r="G107" s="9" t="inlineStr">
        <x:is>
          <x:t xml:space="preserve">Heated Products</x:t>
        </x:is>
      </x:c>
      <x:c r="H107" s="10" t="n">
        <x:v>411.4</x:v>
      </x:c>
      <x:c r="I107" s="10" t="n">
        <x:v>418.7</x:v>
      </x:c>
      <x:c r="J107" s="11" t="n">
        <x:v>0.0177</x:v>
      </x:c>
      <x:c r="K107" s="10" t="n">
        <x:v>235.8</x:v>
      </x:c>
      <x:c r="L107" s="10" t="n">
        <x:v>240</x:v>
      </x:c>
      <x:c r="M107" s="11" t="n">
        <x:v>0.0178</x:v>
      </x:c>
      <x:c r="N107" s="10" t="n">
        <x:v>66.2</x:v>
      </x:c>
      <x:c r="O107" s="16" t="n">
        <x:v>2</x:v>
      </x:c>
      <x:c r="P107" s="9" t="inlineStr">
        <x:is>
          <x:t xml:space="preserve">None</x:t>
        </x:is>
      </x:c>
      <x:c r="Q107" s="9" t="inlineStr">
        <x:is>
          <x:t xml:space="preserve">Competitor new launch</x:t>
        </x:is>
      </x:c>
      <x:c r="R107" s="9" t="inlineStr">
        <x:is>
          <x:t xml:space="preserve">Assess shelf and range impact of competitor launch</x:t>
        </x:is>
      </x:c>
      <x:c r="S107" s="9" t="inlineStr">
        <x:is>
          <x:t xml:space="preserve">Channel Manager - Convenience</x:t>
        </x:is>
      </x:c>
      <x:c r="T107" s="17" t="n">
        <x:v>46339</x:v>
      </x:c>
      <x:c r="U107" s="9" t="inlineStr">
        <x:is>
          <x:t xml:space="preserve">Not started</x:t>
        </x:is>
      </x:c>
      <x:c r="V107" s="9" t="inlineStr">
        <x:is>
          <x:t xml:space="preserve">Portfolio</x:t>
        </x:is>
      </x:c>
      <x:c r="W107" s="9" t="inlineStr">
        <x:is>
          <x:t xml:space="preserve">Synthetic - CIE training only</x:t>
        </x:is>
      </x:c>
    </x:row>
    <x:row r="108">
      <x:c r="A108" s="9" t="inlineStr">
        <x:is>
          <x:t xml:space="preserve">TBR-0103</x:t>
        </x:is>
      </x:c>
      <x:c r="B108" s="9" t="inlineStr">
        <x:is>
          <x:t xml:space="preserve">Q3 2026</x:t>
        </x:is>
      </x:c>
      <x:c r="C108" s="9" t="inlineStr">
        <x:is>
          <x:t xml:space="preserve">Greece</x:t>
        </x:is>
      </x:c>
      <x:c r="D108" s="9" t="inlineStr">
        <x:is>
          <x:t xml:space="preserve">Convenience &amp; Fuel</x:t>
        </x:is>
      </x:c>
      <x:c r="E108" s="9" t="inlineStr">
        <x:is>
          <x:t xml:space="preserve">Orchard Lane Fuel &amp; Go (GR)</x:t>
        </x:is>
      </x:c>
      <x:c r="F108" s="9" t="inlineStr">
        <x:is>
          <x:t xml:space="preserve">Developing</x:t>
        </x:is>
      </x:c>
      <x:c r="G108" s="9" t="inlineStr">
        <x:is>
          <x:t xml:space="preserve">Vapour</x:t>
        </x:is>
      </x:c>
      <x:c r="H108" s="10" t="n">
        <x:v>224.8</x:v>
      </x:c>
      <x:c r="I108" s="10" t="n">
        <x:v>248.8</x:v>
      </x:c>
      <x:c r="J108" s="11" t="n">
        <x:v>0.1068</x:v>
      </x:c>
      <x:c r="K108" s="10" t="n">
        <x:v>123.4</x:v>
      </x:c>
      <x:c r="L108" s="10" t="n">
        <x:v>125.6</x:v>
      </x:c>
      <x:c r="M108" s="11" t="n">
        <x:v>0.0178</x:v>
      </x:c>
      <x:c r="N108" s="10" t="n">
        <x:v>70.90000000000001</x:v>
      </x:c>
      <x:c r="O108" s="16" t="n">
        <x:v>1.2</x:v>
      </x:c>
      <x:c r="P108" s="9" t="inlineStr">
        <x:is>
          <x:t xml:space="preserve">Intensive</x:t>
        </x:is>
      </x:c>
      <x:c r="Q108" s="9" t="inlineStr">
        <x:is>
          <x:t xml:space="preserve">None</x:t>
        </x:is>
      </x:c>
      <x:c r="R108" s="9" t="inlineStr">
        <x:is>
          <x:t xml:space="preserve">Review promotion ROI before next cycle</x:t>
        </x:is>
      </x:c>
      <x:c r="S108" s="9" t="inlineStr">
        <x:is>
          <x:t xml:space="preserve">Channel Manager - Convenience</x:t>
        </x:is>
      </x:c>
      <x:c r="T108" s="17" t="n">
        <x:v>46286</x:v>
      </x:c>
      <x:c r="U108" s="9" t="inlineStr">
        <x:is>
          <x:t xml:space="preserve">Overdue</x:t>
        </x:is>
      </x:c>
      <x:c r="V108" s="9" t="inlineStr">
        <x:is>
          <x:t xml:space="preserve">Trade investment</x:t>
        </x:is>
      </x:c>
      <x:c r="W108" s="9" t="inlineStr">
        <x:is>
          <x:t xml:space="preserve">Synthetic - CIE training only</x:t>
        </x:is>
      </x:c>
    </x:row>
    <x:row r="109">
      <x:c r="A109" s="9" t="inlineStr">
        <x:is>
          <x:t xml:space="preserve">TBR-0104</x:t>
        </x:is>
      </x:c>
      <x:c r="B109" s="9" t="inlineStr">
        <x:is>
          <x:t xml:space="preserve">Q3 2026</x:t>
        </x:is>
      </x:c>
      <x:c r="C109" s="9" t="inlineStr">
        <x:is>
          <x:t xml:space="preserve">Greece</x:t>
        </x:is>
      </x:c>
      <x:c r="D109" s="9" t="inlineStr">
        <x:is>
          <x:t xml:space="preserve">Convenience &amp; Fuel</x:t>
        </x:is>
      </x:c>
      <x:c r="E109" s="9" t="inlineStr">
        <x:is>
          <x:t xml:space="preserve">Bluehaven Fuel &amp; Go (GR)</x:t>
        </x:is>
      </x:c>
      <x:c r="F109" s="9" t="inlineStr">
        <x:is>
          <x:t xml:space="preserve">Core</x:t>
        </x:is>
      </x:c>
      <x:c r="G109" s="9" t="inlineStr">
        <x:is>
          <x:t xml:space="preserve">Modern Oral</x:t>
        </x:is>
      </x:c>
      <x:c r="H109" s="10" t="n">
        <x:v>232.5</x:v>
      </x:c>
      <x:c r="I109" s="10" t="n">
        <x:v>249.8</x:v>
      </x:c>
      <x:c r="J109" s="11" t="n">
        <x:v>0.07439999999999999</x:v>
      </x:c>
      <x:c r="K109" s="10" t="n">
        <x:v>120.5</x:v>
      </x:c>
      <x:c r="L109" s="10" t="n">
        <x:v>129.4</x:v>
      </x:c>
      <x:c r="M109" s="11" t="n">
        <x:v>0.07389999999999999</x:v>
      </x:c>
      <x:c r="N109" s="10" t="n">
        <x:v>68.90000000000001</x:v>
      </x:c>
      <x:c r="O109" s="16" t="n">
        <x:v>0.3</x:v>
      </x:c>
      <x:c r="P109" s="9" t="inlineStr">
        <x:is>
          <x:t xml:space="preserve">None</x:t>
        </x:is>
      </x:c>
      <x:c r="Q109" s="9" t="inlineStr">
        <x:is>
          <x:t xml:space="preserve">None</x:t>
        </x:is>
      </x:c>
      <x:c r="R109" s="9" t="inlineStr">
        <x:is>
          <x:t xml:space="preserve">None</x:t>
        </x:is>
      </x:c>
      <x:c r="S109" s="9" t="n"/>
      <x:c r="T109" s="17" t="n"/>
      <x:c r="U109" s="9" t="inlineStr">
        <x:is>
          <x:t xml:space="preserve">No action</x:t>
        </x:is>
      </x:c>
      <x:c r="V109" s="9" t="inlineStr">
        <x:is>
          <x:t xml:space="preserve">None</x:t>
        </x:is>
      </x:c>
      <x:c r="W109" s="9" t="inlineStr">
        <x:is>
          <x:t xml:space="preserve">Synthetic - CIE training only</x:t>
        </x:is>
      </x:c>
    </x:row>
    <x:row r="110">
      <x:c r="A110" s="9" t="inlineStr">
        <x:is>
          <x:t xml:space="preserve">TBR-0105</x:t>
        </x:is>
      </x:c>
      <x:c r="B110" s="9" t="inlineStr">
        <x:is>
          <x:t xml:space="preserve">Q3 2026</x:t>
        </x:is>
      </x:c>
      <x:c r="C110" s="9" t="inlineStr">
        <x:is>
          <x:t xml:space="preserve">Greece</x:t>
        </x:is>
      </x:c>
      <x:c r="D110" s="9" t="inlineStr">
        <x:is>
          <x:t xml:space="preserve">Convenience &amp; Fuel</x:t>
        </x:is>
      </x:c>
      <x:c r="E110" s="9" t="inlineStr">
        <x:is>
          <x:t xml:space="preserve">Orchard Lane Fuel &amp; Go (GR)</x:t>
        </x:is>
      </x:c>
      <x:c r="F110" s="9" t="inlineStr">
        <x:is>
          <x:t xml:space="preserve">Developing</x:t>
        </x:is>
      </x:c>
      <x:c r="G110" s="9" t="inlineStr">
        <x:is>
          <x:t xml:space="preserve">Heated Products</x:t>
        </x:is>
      </x:c>
      <x:c r="H110" s="10" t="n">
        <x:v>360.5</x:v>
      </x:c>
      <x:c r="I110" s="10" t="n">
        <x:v>372</x:v>
      </x:c>
      <x:c r="J110" s="11" t="n">
        <x:v>0.0319</x:v>
      </x:c>
      <x:c r="K110" s="10" t="n">
        <x:v>225.1</x:v>
      </x:c>
      <x:c r="L110" s="10" t="n">
        <x:v>234.2</x:v>
      </x:c>
      <x:c r="M110" s="11" t="n">
        <x:v>0.0404</x:v>
      </x:c>
      <x:c r="N110" s="10" t="n">
        <x:v>64.2</x:v>
      </x:c>
      <x:c r="O110" s="16" t="n">
        <x:v>0.7</x:v>
      </x:c>
      <x:c r="P110" s="9" t="inlineStr">
        <x:is>
          <x:t xml:space="preserve">None</x:t>
        </x:is>
      </x:c>
      <x:c r="Q110" s="9" t="inlineStr">
        <x:is>
          <x:t xml:space="preserve">None</x:t>
        </x:is>
      </x:c>
      <x:c r="R110" s="9" t="inlineStr">
        <x:is>
          <x:t xml:space="preserve">None</x:t>
        </x:is>
      </x:c>
      <x:c r="S110" s="9" t="n"/>
      <x:c r="T110" s="17" t="n"/>
      <x:c r="U110" s="9" t="inlineStr">
        <x:is>
          <x:t xml:space="preserve">No action</x:t>
        </x:is>
      </x:c>
      <x:c r="V110" s="9" t="inlineStr">
        <x:is>
          <x:t xml:space="preserve">None</x:t>
        </x:is>
      </x:c>
      <x:c r="W110" s="9" t="inlineStr">
        <x:is>
          <x:t xml:space="preserve">Synthetic - CIE training only</x:t>
        </x:is>
      </x:c>
    </x:row>
    <x:row r="111">
      <x:c r="A111" s="9" t="inlineStr">
        <x:is>
          <x:t xml:space="preserve">TBR-0106</x:t>
        </x:is>
      </x:c>
      <x:c r="B111" s="9" t="inlineStr">
        <x:is>
          <x:t xml:space="preserve">Q3 2026</x:t>
        </x:is>
      </x:c>
      <x:c r="C111" s="9" t="inlineStr">
        <x:is>
          <x:t xml:space="preserve">Greece</x:t>
        </x:is>
      </x:c>
      <x:c r="D111" s="9" t="inlineStr">
        <x:is>
          <x:t xml:space="preserve">Wholesale</x:t>
        </x:is>
      </x:c>
      <x:c r="E111" s="9" t="inlineStr">
        <x:is>
          <x:t xml:space="preserve">Redwood Wholesale (GR)</x:t>
        </x:is>
      </x:c>
      <x:c r="F111" s="9" t="inlineStr">
        <x:is>
          <x:t xml:space="preserve">Core</x:t>
        </x:is>
      </x:c>
      <x:c r="G111" s="9" t="inlineStr">
        <x:is>
          <x:t xml:space="preserve">Modern Oral</x:t>
        </x:is>
      </x:c>
      <x:c r="H111" s="10" t="n">
        <x:v>617.2</x:v>
      </x:c>
      <x:c r="I111" s="10" t="n">
        <x:v>702.4</x:v>
      </x:c>
      <x:c r="J111" s="11" t="n">
        <x:v>0.138</x:v>
      </x:c>
      <x:c r="K111" s="10" t="n">
        <x:v>303.8</x:v>
      </x:c>
      <x:c r="L111" s="10" t="n">
        <x:v>340.9</x:v>
      </x:c>
      <x:c r="M111" s="11" t="n">
        <x:v>0.1221</x:v>
      </x:c>
      <x:c r="N111" s="10" t="n">
        <x:v>68.09999999999999</x:v>
      </x:c>
      <x:c r="O111" s="16" t="n">
        <x:v>-0</x:v>
      </x:c>
      <x:c r="P111" s="9" t="inlineStr">
        <x:is>
          <x:t xml:space="preserve">Standard</x:t>
        </x:is>
      </x:c>
      <x:c r="Q111" s="9" t="inlineStr">
        <x:is>
          <x:t xml:space="preserve">None</x:t>
        </x:is>
      </x:c>
      <x:c r="R111" s="9" t="inlineStr">
        <x:is>
          <x:t xml:space="preserve">Validate sell-out data feed with distributor</x:t>
        </x:is>
      </x:c>
      <x:c r="S111" s="9" t="inlineStr">
        <x:is>
          <x:t xml:space="preserve">Distributor Development Manager</x:t>
        </x:is>
      </x:c>
      <x:c r="T111" s="17" t="n">
        <x:v>46285</x:v>
      </x:c>
      <x:c r="U111" s="9" t="inlineStr">
        <x:is>
          <x:t xml:space="preserve">Overdue</x:t>
        </x:is>
      </x:c>
      <x:c r="V111" s="9" t="inlineStr">
        <x:is>
          <x:t xml:space="preserve">Data quality</x:t>
        </x:is>
      </x:c>
      <x:c r="W111" s="9" t="inlineStr">
        <x:is>
          <x:t xml:space="preserve">Synthetic - CIE training only</x:t>
        </x:is>
      </x:c>
    </x:row>
    <x:row r="112">
      <x:c r="A112" s="9" t="inlineStr">
        <x:is>
          <x:t xml:space="preserve">TBR-0107</x:t>
        </x:is>
      </x:c>
      <x:c r="B112" s="9" t="inlineStr">
        <x:is>
          <x:t xml:space="preserve">Q3 2026</x:t>
        </x:is>
      </x:c>
      <x:c r="C112" s="9" t="inlineStr">
        <x:is>
          <x:t xml:space="preserve">Greece</x:t>
        </x:is>
      </x:c>
      <x:c r="D112" s="9" t="inlineStr">
        <x:is>
          <x:t xml:space="preserve">Wholesale</x:t>
        </x:is>
      </x:c>
      <x:c r="E112" s="9" t="inlineStr">
        <x:is>
          <x:t xml:space="preserve">Larkspur Wholesale (GR)</x:t>
        </x:is>
      </x:c>
      <x:c r="F112" s="9" t="inlineStr">
        <x:is>
          <x:t xml:space="preserve">Strategic</x:t>
        </x:is>
      </x:c>
      <x:c r="G112" s="9" t="inlineStr">
        <x:is>
          <x:t xml:space="preserve">Combustibles</x:t>
        </x:is>
      </x:c>
      <x:c r="H112" s="10" t="n">
        <x:v>333.7</x:v>
      </x:c>
      <x:c r="I112" s="10" t="n">
        <x:v>339.3</x:v>
      </x:c>
      <x:c r="J112" s="11" t="n">
        <x:v>0.0168</x:v>
      </x:c>
      <x:c r="K112" s="10" t="n">
        <x:v>139.3</x:v>
      </x:c>
      <x:c r="L112" s="10" t="n">
        <x:v>140.6</x:v>
      </x:c>
      <x:c r="M112" s="11" t="n">
        <x:v>0.009299999999999999</x:v>
      </x:c>
      <x:c r="N112" s="10" t="n">
        <x:v>58.6</x:v>
      </x:c>
      <x:c r="O112" s="16" t="n">
        <x:v>0.7</x:v>
      </x:c>
      <x:c r="P112" s="9" t="inlineStr">
        <x:is>
          <x:t xml:space="preserve">Standard</x:t>
        </x:is>
      </x:c>
      <x:c r="Q112" s="9" t="inlineStr">
        <x:is>
          <x:t xml:space="preserve">None</x:t>
        </x:is>
      </x:c>
      <x:c r="R112" s="9" t="inlineStr">
        <x:is>
          <x:t xml:space="preserve">Confirm Q4 visit plan and in-store execution checks</x:t>
        </x:is>
      </x:c>
      <x:c r="S112" s="9" t="inlineStr">
        <x:is>
          <x:t xml:space="preserve">Distributor Development Manager</x:t>
        </x:is>
      </x:c>
      <x:c r="T112" s="17" t="n">
        <x:v>46294</x:v>
      </x:c>
      <x:c r="U112" s="9" t="inlineStr">
        <x:is>
          <x:t xml:space="preserve">Overdue</x:t>
        </x:is>
      </x:c>
      <x:c r="V112" s="9" t="inlineStr">
        <x:is>
          <x:t xml:space="preserve">None</x:t>
        </x:is>
      </x:c>
      <x:c r="W112" s="9" t="inlineStr">
        <x:is>
          <x:t xml:space="preserve">Synthetic - CIE training only</x:t>
        </x:is>
      </x:c>
    </x:row>
    <x:row r="113">
      <x:c r="A113" s="9" t="inlineStr">
        <x:is>
          <x:t xml:space="preserve">TBR-0108</x:t>
        </x:is>
      </x:c>
      <x:c r="B113" s="9" t="inlineStr">
        <x:is>
          <x:t xml:space="preserve">Q3 2026</x:t>
        </x:is>
      </x:c>
      <x:c r="C113" s="9" t="inlineStr">
        <x:is>
          <x:t xml:space="preserve">Greece</x:t>
        </x:is>
      </x:c>
      <x:c r="D113" s="9" t="inlineStr">
        <x:is>
          <x:t xml:space="preserve">Wholesale</x:t>
        </x:is>
      </x:c>
      <x:c r="E113" s="9" t="inlineStr">
        <x:is>
          <x:t xml:space="preserve">Redwood Wholesale (GR)</x:t>
        </x:is>
      </x:c>
      <x:c r="F113" s="9" t="inlineStr">
        <x:is>
          <x:t xml:space="preserve">Strategic</x:t>
        </x:is>
      </x:c>
      <x:c r="G113" s="9" t="inlineStr">
        <x:is>
          <x:t xml:space="preserve">Vapour</x:t>
        </x:is>
      </x:c>
      <x:c r="H113" s="10" t="n">
        <x:v>648.7</x:v>
      </x:c>
      <x:c r="I113" s="10" t="n">
        <x:v>678.3</x:v>
      </x:c>
      <x:c r="J113" s="11" t="n">
        <x:v>0.0456</x:v>
      </x:c>
      <x:c r="K113" s="10" t="n">
        <x:v>341.9</x:v>
      </x:c>
      <x:c r="L113" s="10" t="n">
        <x:v>330.8</x:v>
      </x:c>
      <x:c r="M113" s="11" t="n">
        <x:v>-0.0325</x:v>
      </x:c>
      <x:c r="N113" s="10" t="n">
        <x:v>61.6</x:v>
      </x:c>
      <x:c r="O113" s="16" t="n">
        <x:v>0.1</x:v>
      </x:c>
      <x:c r="P113" s="9" t="inlineStr">
        <x:is>
          <x:t xml:space="preserve">Intensive</x:t>
        </x:is>
      </x:c>
      <x:c r="Q113" s="9" t="inlineStr">
        <x:is>
          <x:t xml:space="preserve">Competitor promotion</x:t>
        </x:is>
      </x:c>
      <x:c r="R113" s="9" t="inlineStr">
        <x:is>
          <x:t xml:space="preserve">Review promotion ROI before next cycle</x:t>
        </x:is>
      </x:c>
      <x:c r="S113" s="9" t="inlineStr">
        <x:is>
          <x:t xml:space="preserve">Distributor Development Manager</x:t>
        </x:is>
      </x:c>
      <x:c r="T113" s="17" t="n">
        <x:v>46273</x:v>
      </x:c>
      <x:c r="U113" s="9" t="inlineStr">
        <x:is>
          <x:t xml:space="preserve">Overdue</x:t>
        </x:is>
      </x:c>
      <x:c r="V113" s="9" t="inlineStr">
        <x:is>
          <x:t xml:space="preserve">Trade investment</x:t>
        </x:is>
      </x:c>
      <x:c r="W113" s="9" t="inlineStr">
        <x:is>
          <x:t xml:space="preserve">Synthetic - CIE training only</x:t>
        </x:is>
      </x:c>
    </x:row>
    <x:row r="114">
      <x:c r="A114" s="9" t="inlineStr">
        <x:is>
          <x:t xml:space="preserve">TBR-0109</x:t>
        </x:is>
      </x:c>
      <x:c r="B114" s="9" t="inlineStr">
        <x:is>
          <x:t xml:space="preserve">Q3 2026</x:t>
        </x:is>
      </x:c>
      <x:c r="C114" s="9" t="inlineStr">
        <x:is>
          <x:t xml:space="preserve">Greece</x:t>
        </x:is>
      </x:c>
      <x:c r="D114" s="9" t="inlineStr">
        <x:is>
          <x:t xml:space="preserve">Wholesale</x:t>
        </x:is>
      </x:c>
      <x:c r="E114" s="9" t="inlineStr">
        <x:is>
          <x:t xml:space="preserve">Larkspur Wholesale (GR)</x:t>
        </x:is>
      </x:c>
      <x:c r="F114" s="9" t="inlineStr">
        <x:is>
          <x:t xml:space="preserve">Developing</x:t>
        </x:is>
      </x:c>
      <x:c r="G114" s="9" t="inlineStr">
        <x:is>
          <x:t xml:space="preserve">Heated Products</x:t>
        </x:is>
      </x:c>
      <x:c r="H114" s="10" t="n">
        <x:v>621.3</x:v>
      </x:c>
      <x:c r="I114" s="10" t="n">
        <x:v>628.2</x:v>
      </x:c>
      <x:c r="J114" s="11" t="n">
        <x:v>0.0111</x:v>
      </x:c>
      <x:c r="K114" s="10" t="n">
        <x:v>380.7</x:v>
      </x:c>
      <x:c r="L114" s="10" t="n">
        <x:v>386.1</x:v>
      </x:c>
      <x:c r="M114" s="11" t="n">
        <x:v>0.0142</x:v>
      </x:c>
      <x:c r="N114" s="10" t="n">
        <x:v>69.8</x:v>
      </x:c>
      <x:c r="O114" s="16" t="n">
        <x:v>0.7</x:v>
      </x:c>
      <x:c r="P114" s="9" t="inlineStr">
        <x:is>
          <x:t xml:space="preserve">None</x:t>
        </x:is>
      </x:c>
      <x:c r="Q114" s="9" t="inlineStr">
        <x:is>
          <x:t xml:space="preserve">Display space lost</x:t>
        </x:is>
      </x:c>
      <x:c r="R114" s="9" t="inlineStr">
        <x:is>
          <x:t xml:space="preserve">Agree display recovery plan with account (no terms committed)</x:t>
        </x:is>
      </x:c>
      <x:c r="S114" s="9" t="inlineStr">
        <x:is>
          <x:t xml:space="preserve">Distributor Development Manager</x:t>
        </x:is>
      </x:c>
      <x:c r="T114" s="17" t="n">
        <x:v>46288</x:v>
      </x:c>
      <x:c r="U114" s="9" t="inlineStr">
        <x:is>
          <x:t xml:space="preserve">Overdue</x:t>
        </x:is>
      </x:c>
      <x:c r="V114" s="9" t="inlineStr">
        <x:is>
          <x:t xml:space="preserve">Customer terms</x:t>
        </x:is>
      </x:c>
      <x:c r="W114" s="9" t="inlineStr">
        <x:is>
          <x:t xml:space="preserve">Synthetic - CIE training only</x:t>
        </x:is>
      </x:c>
    </x:row>
    <x:row r="115">
      <x:c r="A115" s="9" t="inlineStr">
        <x:is>
          <x:t xml:space="preserve">TBR-0110</x:t>
        </x:is>
      </x:c>
      <x:c r="B115" s="9" t="inlineStr">
        <x:is>
          <x:t xml:space="preserve">Q3 2026</x:t>
        </x:is>
      </x:c>
      <x:c r="C115" s="9" t="inlineStr">
        <x:is>
          <x:t xml:space="preserve">Greece</x:t>
        </x:is>
      </x:c>
      <x:c r="D115" s="9" t="inlineStr">
        <x:is>
          <x:t xml:space="preserve">Wholesale</x:t>
        </x:is>
      </x:c>
      <x:c r="E115" s="9" t="inlineStr">
        <x:is>
          <x:t xml:space="preserve">Redwood Wholesale (GR)</x:t>
        </x:is>
      </x:c>
      <x:c r="F115" s="9" t="inlineStr">
        <x:is>
          <x:t xml:space="preserve">Strategic</x:t>
        </x:is>
      </x:c>
      <x:c r="G115" s="9" t="inlineStr">
        <x:is>
          <x:t xml:space="preserve">Vapour</x:t>
        </x:is>
      </x:c>
      <x:c r="H115" s="10" t="n">
        <x:v>573.2</x:v>
      </x:c>
      <x:c r="I115" s="10" t="n">
        <x:v>583.9</x:v>
      </x:c>
      <x:c r="J115" s="11" t="n">
        <x:v>0.0187</x:v>
      </x:c>
      <x:c r="K115" s="10" t="n">
        <x:v>308.6</x:v>
      </x:c>
      <x:c r="L115" s="10" t="n">
        <x:v>314.1</x:v>
      </x:c>
      <x:c r="M115" s="11" t="n">
        <x:v>0.0178</x:v>
      </x:c>
      <x:c r="N115" s="10" t="n">
        <x:v>61.2</x:v>
      </x:c>
      <x:c r="O115" s="16" t="n">
        <x:v>-0.1</x:v>
      </x:c>
      <x:c r="P115" s="9" t="inlineStr">
        <x:is>
          <x:t xml:space="preserve">Standard</x:t>
        </x:is>
      </x:c>
      <x:c r="Q115" s="9" t="inlineStr">
        <x:is>
          <x:t xml:space="preserve">None</x:t>
        </x:is>
      </x:c>
      <x:c r="R115" s="9" t="inlineStr">
        <x:is>
          <x:t xml:space="preserve">Validate sell-out data feed with distributor</x:t>
        </x:is>
      </x:c>
      <x:c r="S115" s="9" t="inlineStr">
        <x:is>
          <x:t xml:space="preserve">Distributor Development Manager</x:t>
        </x:is>
      </x:c>
      <x:c r="T115" s="17" t="n">
        <x:v>46272</x:v>
      </x:c>
      <x:c r="U115" s="9" t="inlineStr">
        <x:is>
          <x:t xml:space="preserve">Overdue</x:t>
        </x:is>
      </x:c>
      <x:c r="V115" s="9" t="inlineStr">
        <x:is>
          <x:t xml:space="preserve">Data quality</x:t>
        </x:is>
      </x:c>
      <x:c r="W115" s="9" t="inlineStr">
        <x:is>
          <x:t xml:space="preserve">Synthetic - CIE training only</x:t>
        </x:is>
      </x:c>
    </x:row>
    <x:row r="116">
      <x:c r="A116" s="9" t="inlineStr">
        <x:is>
          <x:t xml:space="preserve">TBR-0111</x:t>
        </x:is>
      </x:c>
      <x:c r="B116" s="9" t="inlineStr">
        <x:is>
          <x:t xml:space="preserve">Q3 2026</x:t>
        </x:is>
      </x:c>
      <x:c r="C116" s="9" t="inlineStr">
        <x:is>
          <x:t xml:space="preserve">Greece</x:t>
        </x:is>
      </x:c>
      <x:c r="D116" s="9" t="inlineStr">
        <x:is>
          <x:t xml:space="preserve">Wholesale</x:t>
        </x:is>
      </x:c>
      <x:c r="E116" s="9" t="inlineStr">
        <x:is>
          <x:t xml:space="preserve">Larkspur Wholesale (GR)</x:t>
        </x:is>
      </x:c>
      <x:c r="F116" s="9" t="inlineStr">
        <x:is>
          <x:t xml:space="preserve">Core</x:t>
        </x:is>
      </x:c>
      <x:c r="G116" s="9" t="inlineStr">
        <x:is>
          <x:t xml:space="preserve">Vapour</x:t>
        </x:is>
      </x:c>
      <x:c r="H116" s="10" t="n">
        <x:v>533.4</x:v>
      </x:c>
      <x:c r="I116" s="10" t="n">
        <x:v>549.9</x:v>
      </x:c>
      <x:c r="J116" s="11" t="n">
        <x:v>0.0309</x:v>
      </x:c>
      <x:c r="K116" s="10" t="n">
        <x:v>297.7</x:v>
      </x:c>
      <x:c r="L116" s="10" t="n">
        <x:v>305.8</x:v>
      </x:c>
      <x:c r="M116" s="11" t="n">
        <x:v>0.0272</x:v>
      </x:c>
      <x:c r="N116" s="10" t="n">
        <x:v>59.9</x:v>
      </x:c>
      <x:c r="O116" s="16" t="n">
        <x:v>0.2</x:v>
      </x:c>
      <x:c r="P116" s="9" t="inlineStr">
        <x:is>
          <x:t xml:space="preserve">None</x:t>
        </x:is>
      </x:c>
      <x:c r="Q116" s="9" t="inlineStr">
        <x:is>
          <x:t xml:space="preserve">None</x:t>
        </x:is>
      </x:c>
      <x:c r="R116" s="9" t="inlineStr">
        <x:is>
          <x:t xml:space="preserve">Confirm Q4 visit plan and in-store execution checks</x:t>
        </x:is>
      </x:c>
      <x:c r="S116" s="9" t="inlineStr">
        <x:is>
          <x:t xml:space="preserve">Distributor Development Manager</x:t>
        </x:is>
      </x:c>
      <x:c r="T116" s="17" t="n">
        <x:v>46275</x:v>
      </x:c>
      <x:c r="U116" s="9" t="inlineStr">
        <x:is>
          <x:t xml:space="preserve">Overdue</x:t>
        </x:is>
      </x:c>
      <x:c r="V116" s="9" t="inlineStr">
        <x:is>
          <x:t xml:space="preserve">None</x:t>
        </x:is>
      </x:c>
      <x:c r="W116" s="9" t="inlineStr">
        <x:is>
          <x:t xml:space="preserve">Synthetic - CIE training only</x:t>
        </x:is>
      </x:c>
    </x:row>
    <x:row r="117">
      <x:c r="A117" s="9" t="inlineStr">
        <x:is>
          <x:t xml:space="preserve">TBR-0112</x:t>
        </x:is>
      </x:c>
      <x:c r="B117" s="9" t="inlineStr">
        <x:is>
          <x:t xml:space="preserve">Q3 2026</x:t>
        </x:is>
      </x:c>
      <x:c r="C117" s="9" t="inlineStr">
        <x:is>
          <x:t xml:space="preserve">Greece</x:t>
        </x:is>
      </x:c>
      <x:c r="D117" s="9" t="inlineStr">
        <x:is>
          <x:t xml:space="preserve">Wholesale</x:t>
        </x:is>
      </x:c>
      <x:c r="E117" s="9" t="inlineStr">
        <x:is>
          <x:t xml:space="preserve">Redwood Wholesale (GR)</x:t>
        </x:is>
      </x:c>
      <x:c r="F117" s="9" t="inlineStr">
        <x:is>
          <x:t xml:space="preserve">Strategic</x:t>
        </x:is>
      </x:c>
      <x:c r="G117" s="9" t="inlineStr">
        <x:is>
          <x:t xml:space="preserve">Vapour</x:t>
        </x:is>
      </x:c>
      <x:c r="H117" s="10" t="n">
        <x:v>616.6</x:v>
      </x:c>
      <x:c r="I117" s="10" t="n">
        <x:v>629.8</x:v>
      </x:c>
      <x:c r="J117" s="11" t="n">
        <x:v>0.0214</x:v>
      </x:c>
      <x:c r="K117" s="10" t="n">
        <x:v>325.1</x:v>
      </x:c>
      <x:c r="L117" s="10" t="n">
        <x:v>323.9</x:v>
      </x:c>
      <x:c r="M117" s="11" t="n">
        <x:v>-0.0037</x:v>
      </x:c>
      <x:c r="N117" s="10" t="n">
        <x:v>59.8</x:v>
      </x:c>
      <x:c r="O117" s="16" t="n">
        <x:v>0.6</x:v>
      </x:c>
      <x:c r="P117" s="9" t="inlineStr">
        <x:is>
          <x:t xml:space="preserve">Standard</x:t>
        </x:is>
      </x:c>
      <x:c r="Q117" s="9" t="inlineStr">
        <x:is>
          <x:t xml:space="preserve">None</x:t>
        </x:is>
      </x:c>
      <x:c r="R117" s="9" t="inlineStr">
        <x:is>
          <x:t xml:space="preserve">Update account plan for Q4</x:t>
        </x:is>
      </x:c>
      <x:c r="S117" s="9" t="inlineStr">
        <x:is>
          <x:t xml:space="preserve">Distributor Development Manager</x:t>
        </x:is>
      </x:c>
      <x:c r="T117" s="17" t="n">
        <x:v>46271</x:v>
      </x:c>
      <x:c r="U117" s="9" t="inlineStr">
        <x:is>
          <x:t xml:space="preserve">Overdue</x:t>
        </x:is>
      </x:c>
      <x:c r="V117" s="9" t="inlineStr">
        <x:is>
          <x:t xml:space="preserve">None</x:t>
        </x:is>
      </x:c>
      <x:c r="W117" s="9" t="inlineStr">
        <x:is>
          <x:t xml:space="preserve">Synthetic - CIE training only</x:t>
        </x:is>
      </x:c>
    </x:row>
    <x:row r="118">
      <x:c r="A118" s="9" t="inlineStr">
        <x:is>
          <x:t xml:space="preserve">TBR-0113</x:t>
        </x:is>
      </x:c>
      <x:c r="B118" s="9" t="inlineStr">
        <x:is>
          <x:t xml:space="preserve">Q3 2026</x:t>
        </x:is>
      </x:c>
      <x:c r="C118" s="9" t="inlineStr">
        <x:is>
          <x:t xml:space="preserve">Türkiye</x:t>
        </x:is>
      </x:c>
      <x:c r="D118" s="9" t="inlineStr">
        <x:is>
          <x:t xml:space="preserve">Key Accounts</x:t>
        </x:is>
      </x:c>
      <x:c r="E118" s="9" t="inlineStr">
        <x:is>
          <x:t xml:space="preserve">Stonegate Retail Group (TR)</x:t>
        </x:is>
      </x:c>
      <x:c r="F118" s="9" t="inlineStr">
        <x:is>
          <x:t xml:space="preserve">Strategic</x:t>
        </x:is>
      </x:c>
      <x:c r="G118" s="9" t="inlineStr">
        <x:is>
          <x:t xml:space="preserve">Combustibles</x:t>
        </x:is>
      </x:c>
      <x:c r="H118" s="10" t="n">
        <x:v>745.2</x:v>
      </x:c>
      <x:c r="I118" s="10" t="n">
        <x:v>781.6</x:v>
      </x:c>
      <x:c r="J118" s="11" t="n">
        <x:v>0.0488</x:v>
      </x:c>
      <x:c r="K118" s="10" t="n">
        <x:v>310.1</x:v>
      </x:c>
      <x:c r="L118" s="10" t="n">
        <x:v>304.9</x:v>
      </x:c>
      <x:c r="M118" s="11" t="n">
        <x:v>-0.0168</x:v>
      </x:c>
      <x:c r="N118" s="10" t="n">
        <x:v>70.7</x:v>
      </x:c>
      <x:c r="O118" s="16" t="n">
        <x:v>-0.2</x:v>
      </x:c>
      <x:c r="P118" s="9" t="inlineStr">
        <x:is>
          <x:t xml:space="preserve">Intensive</x:t>
        </x:is>
      </x:c>
      <x:c r="Q118" s="9" t="inlineStr">
        <x:is>
          <x:t xml:space="preserve">Display space lost</x:t>
        </x:is>
      </x:c>
      <x:c r="R118" s="9" t="inlineStr">
        <x:is>
          <x:t xml:space="preserve">Agree display recovery plan with account (no terms committed)</x:t>
        </x:is>
      </x:c>
      <x:c r="S118" s="9" t="inlineStr">
        <x:is>
          <x:t xml:space="preserve">Key Account Manager</x:t>
        </x:is>
      </x:c>
      <x:c r="T118" s="17" t="n">
        <x:v>46296</x:v>
      </x:c>
      <x:c r="U118" s="9" t="inlineStr">
        <x:is>
          <x:t xml:space="preserve">Closed</x:t>
        </x:is>
      </x:c>
      <x:c r="V118" s="9" t="inlineStr">
        <x:is>
          <x:t xml:space="preserve">Customer terms</x:t>
        </x:is>
      </x:c>
      <x:c r="W118" s="9" t="inlineStr">
        <x:is>
          <x:t xml:space="preserve">Synthetic - CIE training only</x:t>
        </x:is>
      </x:c>
    </x:row>
    <x:row r="119">
      <x:c r="A119" s="9" t="inlineStr">
        <x:is>
          <x:t xml:space="preserve">TBR-0114</x:t>
        </x:is>
      </x:c>
      <x:c r="B119" s="9" t="inlineStr">
        <x:is>
          <x:t xml:space="preserve">Q3 2026</x:t>
        </x:is>
      </x:c>
      <x:c r="C119" s="9" t="inlineStr">
        <x:is>
          <x:t xml:space="preserve">Türkiye</x:t>
        </x:is>
      </x:c>
      <x:c r="D119" s="9" t="inlineStr">
        <x:is>
          <x:t xml:space="preserve">Key Accounts</x:t>
        </x:is>
      </x:c>
      <x:c r="E119" s="9" t="inlineStr">
        <x:is>
          <x:t xml:space="preserve">Harbourview Retail Group (TR)</x:t>
        </x:is>
      </x:c>
      <x:c r="F119" s="9" t="inlineStr">
        <x:is>
          <x:t xml:space="preserve">Core</x:t>
        </x:is>
      </x:c>
      <x:c r="G119" s="9" t="inlineStr">
        <x:is>
          <x:t xml:space="preserve">Vapour</x:t>
        </x:is>
      </x:c>
      <x:c r="H119" s="10" t="n">
        <x:v>654.8</x:v>
      </x:c>
      <x:c r="I119" s="10" t="n">
        <x:v>662.1</x:v>
      </x:c>
      <x:c r="J119" s="11" t="n">
        <x:v>0.0111</x:v>
      </x:c>
      <x:c r="K119" s="10" t="n">
        <x:v>354.2</x:v>
      </x:c>
      <x:c r="L119" s="10" t="n">
        <x:v>358.6</x:v>
      </x:c>
      <x:c r="M119" s="11" t="n">
        <x:v>0.0124</x:v>
      </x:c>
      <x:c r="N119" s="10" t="n">
        <x:v>67</x:v>
      </x:c>
      <x:c r="O119" s="16" t="n">
        <x:v>-0.1</x:v>
      </x:c>
      <x:c r="P119" s="9" t="inlineStr">
        <x:is>
          <x:t xml:space="preserve">None</x:t>
        </x:is>
      </x:c>
      <x:c r="Q119" s="9" t="inlineStr">
        <x:is>
          <x:t xml:space="preserve">Display space lost</x:t>
        </x:is>
      </x:c>
      <x:c r="R119" s="9" t="inlineStr">
        <x:is>
          <x:t xml:space="preserve">Agree display recovery plan with account (no terms committed)</x:t>
        </x:is>
      </x:c>
      <x:c r="S119" s="9" t="inlineStr">
        <x:is>
          <x:t xml:space="preserve">Key Account Manager</x:t>
        </x:is>
      </x:c>
      <x:c r="T119" s="17" t="n">
        <x:v>46278</x:v>
      </x:c>
      <x:c r="U119" s="9" t="inlineStr">
        <x:is>
          <x:t xml:space="preserve">Overdue</x:t>
        </x:is>
      </x:c>
      <x:c r="V119" s="9" t="inlineStr">
        <x:is>
          <x:t xml:space="preserve">Customer terms</x:t>
        </x:is>
      </x:c>
      <x:c r="W119" s="9" t="inlineStr">
        <x:is>
          <x:t xml:space="preserve">Synthetic - CIE training only</x:t>
        </x:is>
      </x:c>
    </x:row>
    <x:row r="120">
      <x:c r="A120" s="9" t="inlineStr">
        <x:is>
          <x:t xml:space="preserve">TBR-0115</x:t>
        </x:is>
      </x:c>
      <x:c r="B120" s="9" t="inlineStr">
        <x:is>
          <x:t xml:space="preserve">Q3 2026</x:t>
        </x:is>
      </x:c>
      <x:c r="C120" s="9" t="inlineStr">
        <x:is>
          <x:t xml:space="preserve">Türkiye</x:t>
        </x:is>
      </x:c>
      <x:c r="D120" s="9" t="inlineStr">
        <x:is>
          <x:t xml:space="preserve">Key Accounts</x:t>
        </x:is>
      </x:c>
      <x:c r="E120" s="9" t="inlineStr">
        <x:is>
          <x:t xml:space="preserve">Stonegate Retail Group (TR)</x:t>
        </x:is>
      </x:c>
      <x:c r="F120" s="9" t="inlineStr">
        <x:is>
          <x:t xml:space="preserve">Strategic</x:t>
        </x:is>
      </x:c>
      <x:c r="G120" s="9" t="inlineStr">
        <x:is>
          <x:t xml:space="preserve">Heated Products</x:t>
        </x:is>
      </x:c>
      <x:c r="H120" s="10" t="n">
        <x:v>480.6</x:v>
      </x:c>
      <x:c r="I120" s="10" t="n">
        <x:v>541.7</x:v>
      </x:c>
      <x:c r="J120" s="11" t="n">
        <x:v>0.1271</x:v>
      </x:c>
      <x:c r="K120" s="10" t="n">
        <x:v>297.5</x:v>
      </x:c>
      <x:c r="L120" s="10" t="n">
        <x:v>310.3</x:v>
      </x:c>
      <x:c r="M120" s="11" t="n">
        <x:v>0.043</x:v>
      </x:c>
      <x:c r="N120" s="10" t="n">
        <x:v>55.7</x:v>
      </x:c>
      <x:c r="O120" s="16" t="n">
        <x:v>-0</x:v>
      </x:c>
      <x:c r="P120" s="9" t="inlineStr">
        <x:is>
          <x:t xml:space="preserve">Intensive</x:t>
        </x:is>
      </x:c>
      <x:c r="Q120" s="9" t="inlineStr">
        <x:is>
          <x:t xml:space="preserve">None</x:t>
        </x:is>
      </x:c>
      <x:c r="R120" s="9" t="inlineStr">
        <x:is>
          <x:t xml:space="preserve">None</x:t>
        </x:is>
      </x:c>
      <x:c r="S120" s="9" t="n"/>
      <x:c r="T120" s="17" t="n"/>
      <x:c r="U120" s="9" t="inlineStr">
        <x:is>
          <x:t xml:space="preserve">No action</x:t>
        </x:is>
      </x:c>
      <x:c r="V120" s="9" t="inlineStr">
        <x:is>
          <x:t xml:space="preserve">None</x:t>
        </x:is>
      </x:c>
      <x:c r="W120" s="9" t="inlineStr">
        <x:is>
          <x:t xml:space="preserve">Synthetic - CIE training only</x:t>
        </x:is>
      </x:c>
    </x:row>
    <x:row r="121">
      <x:c r="A121" s="9" t="inlineStr">
        <x:is>
          <x:t xml:space="preserve">TBR-0116</x:t>
        </x:is>
      </x:c>
      <x:c r="B121" s="9" t="inlineStr">
        <x:is>
          <x:t xml:space="preserve">Q3 2026</x:t>
        </x:is>
      </x:c>
      <x:c r="C121" s="9" t="inlineStr">
        <x:is>
          <x:t xml:space="preserve">Türkiye</x:t>
        </x:is>
      </x:c>
      <x:c r="D121" s="9" t="inlineStr">
        <x:is>
          <x:t xml:space="preserve">Key Accounts</x:t>
        </x:is>
      </x:c>
      <x:c r="E121" s="9" t="inlineStr">
        <x:is>
          <x:t xml:space="preserve">Harbourview Retail Group (TR)</x:t>
        </x:is>
      </x:c>
      <x:c r="F121" s="9" t="inlineStr">
        <x:is>
          <x:t xml:space="preserve">Developing</x:t>
        </x:is>
      </x:c>
      <x:c r="G121" s="9" t="inlineStr">
        <x:is>
          <x:t xml:space="preserve">Modern Oral</x:t>
        </x:is>
      </x:c>
      <x:c r="H121" s="10" t="n">
        <x:v>630.7</x:v>
      </x:c>
      <x:c r="I121" s="10" t="n">
        <x:v>716.3</x:v>
      </x:c>
      <x:c r="J121" s="11" t="n">
        <x:v>0.1357</x:v>
      </x:c>
      <x:c r="K121" s="10" t="n">
        <x:v>308.1</x:v>
      </x:c>
      <x:c r="L121" s="10" t="n">
        <x:v>349</x:v>
      </x:c>
      <x:c r="M121" s="11" t="n">
        <x:v>0.1327</x:v>
      </x:c>
      <x:c r="N121" s="10" t="n">
        <x:v>79.09999999999999</x:v>
      </x:c>
      <x:c r="O121" s="16" t="n">
        <x:v>1.4</x:v>
      </x:c>
      <x:c r="P121" s="9" t="inlineStr">
        <x:is>
          <x:t xml:space="preserve">None</x:t>
        </x:is>
      </x:c>
      <x:c r="Q121" s="9" t="inlineStr">
        <x:is>
          <x:t xml:space="preserve">Competitor promotion</x:t>
        </x:is>
      </x:c>
      <x:c r="R121" s="9" t="inlineStr">
        <x:is>
          <x:t xml:space="preserve">Validate sell-out data feed with distributor</x:t>
        </x:is>
      </x:c>
      <x:c r="S121" s="9" t="inlineStr">
        <x:is>
          <x:t xml:space="preserve">Key Account Manager</x:t>
        </x:is>
      </x:c>
      <x:c r="T121" s="17" t="n">
        <x:v>46347</x:v>
      </x:c>
      <x:c r="U121" s="9" t="inlineStr">
        <x:is>
          <x:t xml:space="preserve">On track</x:t>
        </x:is>
      </x:c>
      <x:c r="V121" s="9" t="inlineStr">
        <x:is>
          <x:t xml:space="preserve">Data quality</x:t>
        </x:is>
      </x:c>
      <x:c r="W121" s="9" t="inlineStr">
        <x:is>
          <x:t xml:space="preserve">Synthetic - CIE training only</x:t>
        </x:is>
      </x:c>
    </x:row>
    <x:row r="122">
      <x:c r="A122" s="9" t="inlineStr">
        <x:is>
          <x:t xml:space="preserve">TBR-0117</x:t>
        </x:is>
      </x:c>
      <x:c r="B122" s="9" t="inlineStr">
        <x:is>
          <x:t xml:space="preserve">Q3 2026</x:t>
        </x:is>
      </x:c>
      <x:c r="C122" s="9" t="inlineStr">
        <x:is>
          <x:t xml:space="preserve">Türkiye</x:t>
        </x:is>
      </x:c>
      <x:c r="D122" s="9" t="inlineStr">
        <x:is>
          <x:t xml:space="preserve">Key Accounts</x:t>
        </x:is>
      </x:c>
      <x:c r="E122" s="9" t="inlineStr">
        <x:is>
          <x:t xml:space="preserve">Stonegate Retail Group (TR)</x:t>
        </x:is>
      </x:c>
      <x:c r="F122" s="9" t="inlineStr">
        <x:is>
          <x:t xml:space="preserve">Strategic</x:t>
        </x:is>
      </x:c>
      <x:c r="G122" s="9" t="inlineStr">
        <x:is>
          <x:t xml:space="preserve">Modern Oral</x:t>
        </x:is>
      </x:c>
      <x:c r="H122" s="10" t="n">
        <x:v>721.5</x:v>
      </x:c>
      <x:c r="I122" s="10" t="n">
        <x:v>819.2</x:v>
      </x:c>
      <x:c r="J122" s="11" t="n">
        <x:v>0.1354</x:v>
      </x:c>
      <x:c r="K122" s="10" t="n">
        <x:v>360.2</x:v>
      </x:c>
      <x:c r="L122" s="10" t="n">
        <x:v>395.4</x:v>
      </x:c>
      <x:c r="M122" s="11" t="n">
        <x:v>0.0977</x:v>
      </x:c>
      <x:c r="N122" s="10" t="n">
        <x:v>64.59999999999999</x:v>
      </x:c>
      <x:c r="O122" s="16" t="n">
        <x:v>0.4</x:v>
      </x:c>
      <x:c r="P122" s="9" t="inlineStr">
        <x:is>
          <x:t xml:space="preserve">Standard</x:t>
        </x:is>
      </x:c>
      <x:c r="Q122" s="9" t="inlineStr">
        <x:is>
          <x:t xml:space="preserve">None</x:t>
        </x:is>
      </x:c>
      <x:c r="R122" s="9" t="inlineStr">
        <x:is>
          <x:t xml:space="preserve">None</x:t>
        </x:is>
      </x:c>
      <x:c r="S122" s="9" t="n"/>
      <x:c r="T122" s="17" t="n"/>
      <x:c r="U122" s="9" t="inlineStr">
        <x:is>
          <x:t xml:space="preserve">No action</x:t>
        </x:is>
      </x:c>
      <x:c r="V122" s="9" t="inlineStr">
        <x:is>
          <x:t xml:space="preserve">None</x:t>
        </x:is>
      </x:c>
      <x:c r="W122" s="9" t="inlineStr">
        <x:is>
          <x:t xml:space="preserve">Synthetic - CIE training only</x:t>
        </x:is>
      </x:c>
    </x:row>
    <x:row r="123">
      <x:c r="A123" s="9" t="inlineStr">
        <x:is>
          <x:t xml:space="preserve">TBR-0118</x:t>
        </x:is>
      </x:c>
      <x:c r="B123" s="9" t="inlineStr">
        <x:is>
          <x:t xml:space="preserve">Q3 2026</x:t>
        </x:is>
      </x:c>
      <x:c r="C123" s="9" t="inlineStr">
        <x:is>
          <x:t xml:space="preserve">Türkiye</x:t>
        </x:is>
      </x:c>
      <x:c r="D123" s="9" t="inlineStr">
        <x:is>
          <x:t xml:space="preserve">Key Accounts</x:t>
        </x:is>
      </x:c>
      <x:c r="E123" s="9" t="inlineStr">
        <x:is>
          <x:t xml:space="preserve">Harbourview Retail Group (TR)</x:t>
        </x:is>
      </x:c>
      <x:c r="F123" s="9" t="inlineStr">
        <x:is>
          <x:t xml:space="preserve">Strategic</x:t>
        </x:is>
      </x:c>
      <x:c r="G123" s="9" t="inlineStr">
        <x:is>
          <x:t xml:space="preserve">Vapour</x:t>
        </x:is>
      </x:c>
      <x:c r="H123" s="10" t="n">
        <x:v>431.2</x:v>
      </x:c>
      <x:c r="I123" s="10" t="n">
        <x:v>429.6</x:v>
      </x:c>
      <x:c r="J123" s="11" t="n">
        <x:v>-0.0037</x:v>
      </x:c>
      <x:c r="K123" s="10" t="n">
        <x:v>242.6</x:v>
      </x:c>
      <x:c r="L123" s="10" t="n">
        <x:v>242.6</x:v>
      </x:c>
      <x:c r="M123" s="11" t="n">
        <x:v>0</x:v>
      </x:c>
      <x:c r="N123" s="10" t="n">
        <x:v>78.2</x:v>
      </x:c>
      <x:c r="O123" s="16" t="n">
        <x:v>0.8</x:v>
      </x:c>
      <x:c r="P123" s="9" t="inlineStr">
        <x:is>
          <x:t xml:space="preserve">None</x:t>
        </x:is>
      </x:c>
      <x:c r="Q123" s="9" t="inlineStr">
        <x:is>
          <x:t xml:space="preserve">Display space lost</x:t>
        </x:is>
      </x:c>
      <x:c r="R123" s="9" t="inlineStr">
        <x:is>
          <x:t xml:space="preserve">Agree display recovery plan with account (no terms committed)</x:t>
        </x:is>
      </x:c>
      <x:c r="S123" s="9" t="inlineStr">
        <x:is>
          <x:t xml:space="preserve">Key Account Manager</x:t>
        </x:is>
      </x:c>
      <x:c r="T123" s="17" t="n">
        <x:v>46359</x:v>
      </x:c>
      <x:c r="U123" s="9" t="inlineStr">
        <x:is>
          <x:t xml:space="preserve">On track</x:t>
        </x:is>
      </x:c>
      <x:c r="V123" s="9" t="inlineStr">
        <x:is>
          <x:t xml:space="preserve">Customer terms</x:t>
        </x:is>
      </x:c>
      <x:c r="W123" s="9" t="inlineStr">
        <x:is>
          <x:t xml:space="preserve">Synthetic - CIE training only</x:t>
        </x:is>
      </x:c>
    </x:row>
    <x:row r="124">
      <x:c r="A124" s="9" t="inlineStr">
        <x:is>
          <x:t xml:space="preserve">TBR-0119</x:t>
        </x:is>
      </x:c>
      <x:c r="B124" s="9" t="inlineStr">
        <x:is>
          <x:t xml:space="preserve">Q3 2026</x:t>
        </x:is>
      </x:c>
      <x:c r="C124" s="9" t="inlineStr">
        <x:is>
          <x:t xml:space="preserve">Türkiye</x:t>
        </x:is>
      </x:c>
      <x:c r="D124" s="9" t="inlineStr">
        <x:is>
          <x:t xml:space="preserve">Key Accounts</x:t>
        </x:is>
      </x:c>
      <x:c r="E124" s="9" t="inlineStr">
        <x:is>
          <x:t xml:space="preserve">Stonegate Retail Group (TR)</x:t>
        </x:is>
      </x:c>
      <x:c r="F124" s="9" t="inlineStr">
        <x:is>
          <x:t xml:space="preserve">Strategic</x:t>
        </x:is>
      </x:c>
      <x:c r="G124" s="9" t="inlineStr">
        <x:is>
          <x:t xml:space="preserve">Vapour</x:t>
        </x:is>
      </x:c>
      <x:c r="H124" s="10" t="n">
        <x:v>840.6</x:v>
      </x:c>
      <x:c r="I124" s="10" t="n">
        <x:v>840.1</x:v>
      </x:c>
      <x:c r="J124" s="11" t="n">
        <x:v>-0.0005999999999999999</x:v>
      </x:c>
      <x:c r="K124" s="10" t="n">
        <x:v>484.3</x:v>
      </x:c>
      <x:c r="L124" s="10" t="n">
        <x:v>481.4</x:v>
      </x:c>
      <x:c r="M124" s="11" t="n">
        <x:v>-0.006</x:v>
      </x:c>
      <x:c r="N124" s="10" t="n">
        <x:v>67.90000000000001</x:v>
      </x:c>
      <x:c r="O124" s="16" t="n">
        <x:v>1.2</x:v>
      </x:c>
      <x:c r="P124" s="9" t="inlineStr">
        <x:is>
          <x:t xml:space="preserve">Standard</x:t>
        </x:is>
      </x:c>
      <x:c r="Q124" s="9" t="inlineStr">
        <x:is>
          <x:t xml:space="preserve">None</x:t>
        </x:is>
      </x:c>
      <x:c r="R124" s="9" t="inlineStr">
        <x:is>
          <x:t xml:space="preserve">None</x:t>
        </x:is>
      </x:c>
      <x:c r="S124" s="9" t="n"/>
      <x:c r="T124" s="17" t="n"/>
      <x:c r="U124" s="9" t="inlineStr">
        <x:is>
          <x:t xml:space="preserve">No action</x:t>
        </x:is>
      </x:c>
      <x:c r="V124" s="9" t="inlineStr">
        <x:is>
          <x:t xml:space="preserve">None</x:t>
        </x:is>
      </x:c>
      <x:c r="W124" s="9" t="inlineStr">
        <x:is>
          <x:t xml:space="preserve">Synthetic - CIE training only</x:t>
        </x:is>
      </x:c>
    </x:row>
    <x:row r="125">
      <x:c r="A125" s="9" t="inlineStr">
        <x:is>
          <x:t xml:space="preserve">TBR-0120</x:t>
        </x:is>
      </x:c>
      <x:c r="B125" s="9" t="inlineStr">
        <x:is>
          <x:t xml:space="preserve">Q3 2026</x:t>
        </x:is>
      </x:c>
      <x:c r="C125" s="9" t="inlineStr">
        <x:is>
          <x:t xml:space="preserve">Türkiye</x:t>
        </x:is>
      </x:c>
      <x:c r="D125" s="9" t="inlineStr">
        <x:is>
          <x:t xml:space="preserve">Traditional Trade</x:t>
        </x:is>
      </x:c>
      <x:c r="E125" s="9" t="inlineStr">
        <x:is>
          <x:t xml:space="preserve">Copperfield Independents Network (TR)</x:t>
        </x:is>
      </x:c>
      <x:c r="F125" s="9" t="inlineStr">
        <x:is>
          <x:t xml:space="preserve">Developing</x:t>
        </x:is>
      </x:c>
      <x:c r="G125" s="9" t="inlineStr">
        <x:is>
          <x:t xml:space="preserve">Combustibles</x:t>
        </x:is>
      </x:c>
      <x:c r="H125" s="10" t="n">
        <x:v>423.2</x:v>
      </x:c>
      <x:c r="I125" s="10" t="n">
        <x:v>417.4</x:v>
      </x:c>
      <x:c r="J125" s="11" t="n">
        <x:v>-0.0137</x:v>
      </x:c>
      <x:c r="K125" s="10" t="n">
        <x:v>172.1</x:v>
      </x:c>
      <x:c r="L125" s="10" t="n">
        <x:v>170.2</x:v>
      </x:c>
      <x:c r="M125" s="11" t="n">
        <x:v>-0.011</x:v>
      </x:c>
      <x:c r="N125" s="10" t="n">
        <x:v>72.2</x:v>
      </x:c>
      <x:c r="O125" s="16" t="n">
        <x:v>1.6</x:v>
      </x:c>
      <x:c r="P125" s="9" t="inlineStr">
        <x:is>
          <x:t xml:space="preserve">Standard</x:t>
        </x:is>
      </x:c>
      <x:c r="Q125" s="9" t="inlineStr">
        <x:is>
          <x:t xml:space="preserve">Competitor promotion</x:t>
        </x:is>
      </x:c>
      <x:c r="R125" s="9" t="inlineStr">
        <x:is>
          <x:t xml:space="preserve">Confirm Q4 visit plan and in-store execution checks</x:t>
        </x:is>
      </x:c>
      <x:c r="S125" s="9" t="inlineStr">
        <x:is>
          <x:t xml:space="preserve">Area Sales Manager</x:t>
        </x:is>
      </x:c>
      <x:c r="T125" s="17" t="n">
        <x:v>46325</x:v>
      </x:c>
      <x:c r="U125" s="9" t="inlineStr">
        <x:is>
          <x:t xml:space="preserve">Closed</x:t>
        </x:is>
      </x:c>
      <x:c r="V125" s="9" t="inlineStr">
        <x:is>
          <x:t xml:space="preserve">None</x:t>
        </x:is>
      </x:c>
      <x:c r="W125" s="9" t="inlineStr">
        <x:is>
          <x:t xml:space="preserve">Synthetic - CIE training only</x:t>
        </x:is>
      </x:c>
    </x:row>
    <x:row r="126">
      <x:c r="A126" s="9" t="inlineStr">
        <x:is>
          <x:t xml:space="preserve">TBR-0121</x:t>
        </x:is>
      </x:c>
      <x:c r="B126" s="9" t="inlineStr">
        <x:is>
          <x:t xml:space="preserve">Q3 2026</x:t>
        </x:is>
      </x:c>
      <x:c r="C126" s="9" t="inlineStr">
        <x:is>
          <x:t xml:space="preserve">Türkiye</x:t>
        </x:is>
      </x:c>
      <x:c r="D126" s="9" t="inlineStr">
        <x:is>
          <x:t xml:space="preserve">Traditional Trade</x:t>
        </x:is>
      </x:c>
      <x:c r="E126" s="9" t="inlineStr">
        <x:is>
          <x:t xml:space="preserve">Westmere Independents Network (TR)</x:t>
        </x:is>
      </x:c>
      <x:c r="F126" s="9" t="inlineStr">
        <x:is>
          <x:t xml:space="preserve">Core</x:t>
        </x:is>
      </x:c>
      <x:c r="G126" s="9" t="inlineStr">
        <x:is>
          <x:t xml:space="preserve">Vapour</x:t>
        </x:is>
      </x:c>
      <x:c r="H126" s="10" t="n">
        <x:v>371.1</x:v>
      </x:c>
      <x:c r="I126" s="10" t="n">
        <x:v>386.9</x:v>
      </x:c>
      <x:c r="J126" s="11" t="n">
        <x:v>0.0426</x:v>
      </x:c>
      <x:c r="K126" s="10" t="n">
        <x:v>198.3</x:v>
      </x:c>
      <x:c r="L126" s="10" t="n">
        <x:v>201.8</x:v>
      </x:c>
      <x:c r="M126" s="11" t="n">
        <x:v>0.0177</x:v>
      </x:c>
      <x:c r="N126" s="10" t="n">
        <x:v>64.3</x:v>
      </x:c>
      <x:c r="O126" s="16" t="n">
        <x:v>-0.2</x:v>
      </x:c>
      <x:c r="P126" s="9" t="inlineStr">
        <x:is>
          <x:t xml:space="preserve">Standard</x:t>
        </x:is>
      </x:c>
      <x:c r="Q126" s="9" t="inlineStr">
        <x:is>
          <x:t xml:space="preserve">Competitor new launch</x:t>
        </x:is>
      </x:c>
      <x:c r="R126" s="9" t="inlineStr">
        <x:is>
          <x:t xml:space="preserve">Assess shelf and range impact of competitor launch</x:t>
        </x:is>
      </x:c>
      <x:c r="S126" s="9" t="inlineStr">
        <x:is>
          <x:t xml:space="preserve">Area Sales Manager</x:t>
        </x:is>
      </x:c>
      <x:c r="T126" s="17" t="n">
        <x:v>46352</x:v>
      </x:c>
      <x:c r="U126" s="9" t="inlineStr">
        <x:is>
          <x:t xml:space="preserve">Not started</x:t>
        </x:is>
      </x:c>
      <x:c r="V126" s="9" t="inlineStr">
        <x:is>
          <x:t xml:space="preserve">Portfolio</x:t>
        </x:is>
      </x:c>
      <x:c r="W126" s="9" t="inlineStr">
        <x:is>
          <x:t xml:space="preserve">Synthetic - CIE training only</x:t>
        </x:is>
      </x:c>
    </x:row>
    <x:row r="127">
      <x:c r="A127" s="9" t="inlineStr">
        <x:is>
          <x:t xml:space="preserve">TBR-0122</x:t>
        </x:is>
      </x:c>
      <x:c r="B127" s="9" t="inlineStr">
        <x:is>
          <x:t xml:space="preserve">Q3 2026</x:t>
        </x:is>
      </x:c>
      <x:c r="C127" s="9" t="inlineStr">
        <x:is>
          <x:t xml:space="preserve">Türkiye</x:t>
        </x:is>
      </x:c>
      <x:c r="D127" s="9" t="inlineStr">
        <x:is>
          <x:t xml:space="preserve">Traditional Trade</x:t>
        </x:is>
      </x:c>
      <x:c r="E127" s="9" t="inlineStr">
        <x:is>
          <x:t xml:space="preserve">Copperfield Independents Network (TR)</x:t>
        </x:is>
      </x:c>
      <x:c r="F127" s="9" t="inlineStr">
        <x:is>
          <x:t xml:space="preserve">Core</x:t>
        </x:is>
      </x:c>
      <x:c r="G127" s="9" t="inlineStr">
        <x:is>
          <x:t xml:space="preserve">Heated Products</x:t>
        </x:is>
      </x:c>
      <x:c r="H127" s="10" t="n">
        <x:v>512.9</x:v>
      </x:c>
      <x:c r="I127" s="10" t="n">
        <x:v>503.3</x:v>
      </x:c>
      <x:c r="J127" s="11" t="n">
        <x:v>-0.0187</x:v>
      </x:c>
      <x:c r="K127" s="10" t="n">
        <x:v>310.7</x:v>
      </x:c>
      <x:c r="L127" s="10" t="n">
        <x:v>307.2</x:v>
      </x:c>
      <x:c r="M127" s="11" t="n">
        <x:v>-0.0113</x:v>
      </x:c>
      <x:c r="N127" s="10" t="n">
        <x:v>75.7</x:v>
      </x:c>
      <x:c r="O127" s="16" t="n">
        <x:v>-0.3</x:v>
      </x:c>
      <x:c r="P127" s="9" t="inlineStr">
        <x:is>
          <x:t xml:space="preserve">None</x:t>
        </x:is>
      </x:c>
      <x:c r="Q127" s="9" t="inlineStr">
        <x:is>
          <x:t xml:space="preserve">None</x:t>
        </x:is>
      </x:c>
      <x:c r="R127" s="9" t="inlineStr">
        <x:is>
          <x:t xml:space="preserve">None</x:t>
        </x:is>
      </x:c>
      <x:c r="S127" s="9" t="n"/>
      <x:c r="T127" s="17" t="n"/>
      <x:c r="U127" s="9" t="inlineStr">
        <x:is>
          <x:t xml:space="preserve">No action</x:t>
        </x:is>
      </x:c>
      <x:c r="V127" s="9" t="inlineStr">
        <x:is>
          <x:t xml:space="preserve">None</x:t>
        </x:is>
      </x:c>
      <x:c r="W127" s="9" t="inlineStr">
        <x:is>
          <x:t xml:space="preserve">Synthetic - CIE training only</x:t>
        </x:is>
      </x:c>
    </x:row>
    <x:row r="128">
      <x:c r="A128" s="9" t="inlineStr">
        <x:is>
          <x:t xml:space="preserve">TBR-0123</x:t>
        </x:is>
      </x:c>
      <x:c r="B128" s="9" t="inlineStr">
        <x:is>
          <x:t xml:space="preserve">Q3 2026</x:t>
        </x:is>
      </x:c>
      <x:c r="C128" s="9" t="inlineStr">
        <x:is>
          <x:t xml:space="preserve">Türkiye</x:t>
        </x:is>
      </x:c>
      <x:c r="D128" s="9" t="inlineStr">
        <x:is>
          <x:t xml:space="preserve">Traditional Trade</x:t>
        </x:is>
      </x:c>
      <x:c r="E128" s="9" t="inlineStr">
        <x:is>
          <x:t xml:space="preserve">Westmere Independents Network (TR)</x:t>
        </x:is>
      </x:c>
      <x:c r="F128" s="9" t="inlineStr">
        <x:is>
          <x:t xml:space="preserve">Developing</x:t>
        </x:is>
      </x:c>
      <x:c r="G128" s="9" t="inlineStr">
        <x:is>
          <x:t xml:space="preserve">Modern Oral</x:t>
        </x:is>
      </x:c>
      <x:c r="H128" s="10" t="n">
        <x:v>234.3</x:v>
      </x:c>
      <x:c r="I128" s="10" t="n">
        <x:v>280.6</x:v>
      </x:c>
      <x:c r="J128" s="11" t="n">
        <x:v>0.1976</x:v>
      </x:c>
      <x:c r="K128" s="10" t="n">
        <x:v>114.4</x:v>
      </x:c>
      <x:c r="L128" s="10" t="n">
        <x:v>127.3</x:v>
      </x:c>
      <x:c r="M128" s="11" t="n">
        <x:v>0.1128</x:v>
      </x:c>
      <x:c r="N128" s="10" t="n">
        <x:v>64.59999999999999</x:v>
      </x:c>
      <x:c r="O128" s="16" t="n">
        <x:v>0.7</x:v>
      </x:c>
      <x:c r="P128" s="9" t="inlineStr">
        <x:is>
          <x:t xml:space="preserve">Intensive</x:t>
        </x:is>
      </x:c>
      <x:c r="Q128" s="9" t="inlineStr">
        <x:is>
          <x:t xml:space="preserve">None</x:t>
        </x:is>
      </x:c>
      <x:c r="R128" s="9" t="inlineStr">
        <x:is>
          <x:t xml:space="preserve">None</x:t>
        </x:is>
      </x:c>
      <x:c r="S128" s="9" t="n"/>
      <x:c r="T128" s="17" t="n"/>
      <x:c r="U128" s="9" t="inlineStr">
        <x:is>
          <x:t xml:space="preserve">No action</x:t>
        </x:is>
      </x:c>
      <x:c r="V128" s="9" t="inlineStr">
        <x:is>
          <x:t xml:space="preserve">None</x:t>
        </x:is>
      </x:c>
      <x:c r="W128" s="9" t="inlineStr">
        <x:is>
          <x:t xml:space="preserve">Synthetic - CIE training only</x:t>
        </x:is>
      </x:c>
    </x:row>
    <x:row r="129">
      <x:c r="A129" s="9" t="inlineStr">
        <x:is>
          <x:t xml:space="preserve">TBR-0124</x:t>
        </x:is>
      </x:c>
      <x:c r="B129" s="9" t="inlineStr">
        <x:is>
          <x:t xml:space="preserve">Q3 2026</x:t>
        </x:is>
      </x:c>
      <x:c r="C129" s="9" t="inlineStr">
        <x:is>
          <x:t xml:space="preserve">Türkiye</x:t>
        </x:is>
      </x:c>
      <x:c r="D129" s="9" t="inlineStr">
        <x:is>
          <x:t xml:space="preserve">Traditional Trade</x:t>
        </x:is>
      </x:c>
      <x:c r="E129" s="9" t="inlineStr">
        <x:is>
          <x:t xml:space="preserve">Copperfield Independents Network (TR)</x:t>
        </x:is>
      </x:c>
      <x:c r="F129" s="9" t="inlineStr">
        <x:is>
          <x:t xml:space="preserve">Strategic</x:t>
        </x:is>
      </x:c>
      <x:c r="G129" s="9" t="inlineStr">
        <x:is>
          <x:t xml:space="preserve">Heated Products</x:t>
        </x:is>
      </x:c>
      <x:c r="H129" s="10" t="n">
        <x:v>260.2</x:v>
      </x:c>
      <x:c r="I129" s="10" t="n">
        <x:v>243.6</x:v>
      </x:c>
      <x:c r="J129" s="11" t="n">
        <x:v>-0.0638</x:v>
      </x:c>
      <x:c r="K129" s="10" t="n">
        <x:v>149.4</x:v>
      </x:c>
      <x:c r="L129" s="10" t="n">
        <x:v>139.7</x:v>
      </x:c>
      <x:c r="M129" s="11" t="n">
        <x:v>-0.0649</x:v>
      </x:c>
      <x:c r="N129" s="10" t="n">
        <x:v>72.5</x:v>
      </x:c>
      <x:c r="O129" s="16" t="n">
        <x:v>-0.6</x:v>
      </x:c>
      <x:c r="P129" s="9" t="inlineStr">
        <x:is>
          <x:t xml:space="preserve">None</x:t>
        </x:is>
      </x:c>
      <x:c r="Q129" s="9" t="inlineStr">
        <x:is>
          <x:t xml:space="preserve">Competitor promotion</x:t>
        </x:is>
      </x:c>
      <x:c r="R129" s="9" t="inlineStr">
        <x:is>
          <x:t xml:space="preserve">Confirm Q4 visit plan and in-store execution checks</x:t>
        </x:is>
      </x:c>
      <x:c r="S129" s="9" t="inlineStr">
        <x:is>
          <x:t xml:space="preserve">Area Sales Manager</x:t>
        </x:is>
      </x:c>
      <x:c r="T129" s="17" t="n">
        <x:v>46281</x:v>
      </x:c>
      <x:c r="U129" s="9" t="inlineStr">
        <x:is>
          <x:t xml:space="preserve">Closed</x:t>
        </x:is>
      </x:c>
      <x:c r="V129" s="9" t="inlineStr">
        <x:is>
          <x:t xml:space="preserve">None</x:t>
        </x:is>
      </x:c>
      <x:c r="W129" s="9" t="inlineStr">
        <x:is>
          <x:t xml:space="preserve">Synthetic - CIE training only</x:t>
        </x:is>
      </x:c>
    </x:row>
    <x:row r="130">
      <x:c r="A130" s="9" t="inlineStr">
        <x:is>
          <x:t xml:space="preserve">TBR-0125</x:t>
        </x:is>
      </x:c>
      <x:c r="B130" s="9" t="inlineStr">
        <x:is>
          <x:t xml:space="preserve">Q3 2026</x:t>
        </x:is>
      </x:c>
      <x:c r="C130" s="9" t="inlineStr">
        <x:is>
          <x:t xml:space="preserve">Türkiye</x:t>
        </x:is>
      </x:c>
      <x:c r="D130" s="9" t="inlineStr">
        <x:is>
          <x:t xml:space="preserve">Traditional Trade</x:t>
        </x:is>
      </x:c>
      <x:c r="E130" s="9" t="inlineStr">
        <x:is>
          <x:t xml:space="preserve">Westmere Independents Network (TR)</x:t>
        </x:is>
      </x:c>
      <x:c r="F130" s="9" t="inlineStr">
        <x:is>
          <x:t xml:space="preserve">Core</x:t>
        </x:is>
      </x:c>
      <x:c r="G130" s="9" t="inlineStr">
        <x:is>
          <x:t xml:space="preserve">Combustibles</x:t>
        </x:is>
      </x:c>
      <x:c r="H130" s="10" t="n">
        <x:v>355.9</x:v>
      </x:c>
      <x:c r="I130" s="10" t="n">
        <x:v>358</x:v>
      </x:c>
      <x:c r="J130" s="11" t="n">
        <x:v>0.0059</x:v>
      </x:c>
      <x:c r="K130" s="10" t="n">
        <x:v>149.8</x:v>
      </x:c>
      <x:c r="L130" s="10" t="n">
        <x:v>139.3</x:v>
      </x:c>
      <x:c r="M130" s="11" t="n">
        <x:v>-0.0701</x:v>
      </x:c>
      <x:c r="N130" s="10" t="n">
        <x:v>78.2</x:v>
      </x:c>
      <x:c r="O130" s="16" t="n">
        <x:v>-1.6</x:v>
      </x:c>
      <x:c r="P130" s="9" t="inlineStr">
        <x:is>
          <x:t xml:space="preserve">Intensive</x:t>
        </x:is>
      </x:c>
      <x:c r="Q130" s="9" t="inlineStr">
        <x:is>
          <x:t xml:space="preserve">None</x:t>
        </x:is>
      </x:c>
      <x:c r="R130" s="9" t="inlineStr">
        <x:is>
          <x:t xml:space="preserve">None</x:t>
        </x:is>
      </x:c>
      <x:c r="S130" s="9" t="n"/>
      <x:c r="T130" s="17" t="n"/>
      <x:c r="U130" s="9" t="inlineStr">
        <x:is>
          <x:t xml:space="preserve">No action</x:t>
        </x:is>
      </x:c>
      <x:c r="V130" s="9" t="inlineStr">
        <x:is>
          <x:t xml:space="preserve">None</x:t>
        </x:is>
      </x:c>
      <x:c r="W130" s="9" t="inlineStr">
        <x:is>
          <x:t xml:space="preserve">Synthetic - CIE training only</x:t>
        </x:is>
      </x:c>
    </x:row>
    <x:row r="131">
      <x:c r="A131" s="9" t="inlineStr">
        <x:is>
          <x:t xml:space="preserve">TBR-0126</x:t>
        </x:is>
      </x:c>
      <x:c r="B131" s="9" t="inlineStr">
        <x:is>
          <x:t xml:space="preserve">Q3 2026</x:t>
        </x:is>
      </x:c>
      <x:c r="C131" s="9" t="inlineStr">
        <x:is>
          <x:t xml:space="preserve">Türkiye</x:t>
        </x:is>
      </x:c>
      <x:c r="D131" s="9" t="inlineStr">
        <x:is>
          <x:t xml:space="preserve">Traditional Trade</x:t>
        </x:is>
      </x:c>
      <x:c r="E131" s="9" t="inlineStr">
        <x:is>
          <x:t xml:space="preserve">Copperfield Independents Network (TR)</x:t>
        </x:is>
      </x:c>
      <x:c r="F131" s="9" t="inlineStr">
        <x:is>
          <x:t xml:space="preserve">Developing</x:t>
        </x:is>
      </x:c>
      <x:c r="G131" s="9" t="inlineStr">
        <x:is>
          <x:t xml:space="preserve">Modern Oral</x:t>
        </x:is>
      </x:c>
      <x:c r="H131" s="10" t="n">
        <x:v>243.6</x:v>
      </x:c>
      <x:c r="I131" s="10" t="n">
        <x:v>274.4</x:v>
      </x:c>
      <x:c r="J131" s="11" t="n">
        <x:v>0.1264</x:v>
      </x:c>
      <x:c r="K131" s="10" t="n">
        <x:v>122.3</x:v>
      </x:c>
      <x:c r="L131" s="10" t="n">
        <x:v>137.9</x:v>
      </x:c>
      <x:c r="M131" s="11" t="n">
        <x:v>0.1276</x:v>
      </x:c>
      <x:c r="N131" s="10" t="n">
        <x:v>76.40000000000001</x:v>
      </x:c>
      <x:c r="O131" s="16" t="n">
        <x:v>1.5</x:v>
      </x:c>
      <x:c r="P131" s="9" t="inlineStr">
        <x:is>
          <x:t xml:space="preserve">Standard</x:t>
        </x:is>
      </x:c>
      <x:c r="Q131" s="9" t="inlineStr">
        <x:is>
          <x:t xml:space="preserve">Display space lost</x:t>
        </x:is>
      </x:c>
      <x:c r="R131" s="9" t="inlineStr">
        <x:is>
          <x:t xml:space="preserve">Agree display recovery plan with account (no terms committed)</x:t>
        </x:is>
      </x:c>
      <x:c r="S131" s="9" t="inlineStr">
        <x:is>
          <x:t xml:space="preserve">Area Sales Manager</x:t>
        </x:is>
      </x:c>
      <x:c r="T131" s="17" t="n">
        <x:v>46309</x:v>
      </x:c>
      <x:c r="U131" s="9" t="inlineStr">
        <x:is>
          <x:t xml:space="preserve">Closed</x:t>
        </x:is>
      </x:c>
      <x:c r="V131" s="9" t="inlineStr">
        <x:is>
          <x:t xml:space="preserve">Customer terms</x:t>
        </x:is>
      </x:c>
      <x:c r="W131" s="9" t="inlineStr">
        <x:is>
          <x:t xml:space="preserve">Synthetic - CIE training only</x:t>
        </x:is>
      </x:c>
    </x:row>
    <x:row r="132">
      <x:c r="A132" s="9" t="inlineStr">
        <x:is>
          <x:t xml:space="preserve">TBR-0127</x:t>
        </x:is>
      </x:c>
      <x:c r="B132" s="9" t="inlineStr">
        <x:is>
          <x:t xml:space="preserve">Q3 2026</x:t>
        </x:is>
      </x:c>
      <x:c r="C132" s="9" t="inlineStr">
        <x:is>
          <x:t xml:space="preserve">Türkiye</x:t>
        </x:is>
      </x:c>
      <x:c r="D132" s="9" t="inlineStr">
        <x:is>
          <x:t xml:space="preserve">Convenience &amp; Fuel</x:t>
        </x:is>
      </x:c>
      <x:c r="E132" s="9" t="inlineStr">
        <x:is>
          <x:t xml:space="preserve">Brightwell Fuel &amp; Go (TR)</x:t>
        </x:is>
      </x:c>
      <x:c r="F132" s="9" t="inlineStr">
        <x:is>
          <x:t xml:space="preserve">Strategic</x:t>
        </x:is>
      </x:c>
      <x:c r="G132" s="9" t="inlineStr">
        <x:is>
          <x:t xml:space="preserve">Combustibles</x:t>
        </x:is>
      </x:c>
      <x:c r="H132" s="10" t="n">
        <x:v>209.1</x:v>
      </x:c>
      <x:c r="I132" s="10" t="n">
        <x:v>195.9</x:v>
      </x:c>
      <x:c r="J132" s="11" t="n">
        <x:v>-0.0631</x:v>
      </x:c>
      <x:c r="K132" s="10" t="n">
        <x:v>92.09999999999999</x:v>
      </x:c>
      <x:c r="L132" s="10" t="n">
        <x:v>86.7</x:v>
      </x:c>
      <x:c r="M132" s="11" t="n">
        <x:v>-0.0586</x:v>
      </x:c>
      <x:c r="N132" s="10" t="n">
        <x:v>70.90000000000001</x:v>
      </x:c>
      <x:c r="O132" s="16" t="n">
        <x:v>-3.2</x:v>
      </x:c>
      <x:c r="P132" s="9" t="inlineStr">
        <x:is>
          <x:t xml:space="preserve">None</x:t>
        </x:is>
      </x:c>
      <x:c r="Q132" s="9" t="inlineStr">
        <x:is>
          <x:t xml:space="preserve">Competitor price cut</x:t>
        </x:is>
      </x:c>
      <x:c r="R132" s="9" t="inlineStr">
        <x:is>
          <x:t xml:space="preserve">Prepare response options to competitor price cut for RGM review</x:t>
        </x:is>
      </x:c>
      <x:c r="S132" s="9" t="inlineStr">
        <x:is>
          <x:t xml:space="preserve">Channel Manager - Convenience</x:t>
        </x:is>
      </x:c>
      <x:c r="T132" s="17" t="n">
        <x:v>46305</x:v>
      </x:c>
      <x:c r="U132" s="9" t="inlineStr">
        <x:is>
          <x:t xml:space="preserve">Closed</x:t>
        </x:is>
      </x:c>
      <x:c r="V132" s="9" t="inlineStr">
        <x:is>
          <x:t xml:space="preserve">Pricing</x:t>
        </x:is>
      </x:c>
      <x:c r="W132" s="9" t="inlineStr">
        <x:is>
          <x:t xml:space="preserve">Synthetic - CIE training only</x:t>
        </x:is>
      </x:c>
    </x:row>
    <x:row r="133">
      <x:c r="A133" s="9" t="inlineStr">
        <x:is>
          <x:t xml:space="preserve">TBR-0128</x:t>
        </x:is>
      </x:c>
      <x:c r="B133" s="9" t="inlineStr">
        <x:is>
          <x:t xml:space="preserve">Q3 2026</x:t>
        </x:is>
      </x:c>
      <x:c r="C133" s="9" t="inlineStr">
        <x:is>
          <x:t xml:space="preserve">Türkiye</x:t>
        </x:is>
      </x:c>
      <x:c r="D133" s="9" t="inlineStr">
        <x:is>
          <x:t xml:space="preserve">Convenience &amp; Fuel</x:t>
        </x:is>
      </x:c>
      <x:c r="E133" s="9" t="inlineStr">
        <x:is>
          <x:t xml:space="preserve">Falconridge Fuel &amp; Go (TR)</x:t>
        </x:is>
      </x:c>
      <x:c r="F133" s="9" t="inlineStr">
        <x:is>
          <x:t xml:space="preserve">Core</x:t>
        </x:is>
      </x:c>
      <x:c r="G133" s="9" t="inlineStr">
        <x:is>
          <x:t xml:space="preserve">Vapour</x:t>
        </x:is>
      </x:c>
      <x:c r="H133" s="10" t="n">
        <x:v>389.5</x:v>
      </x:c>
      <x:c r="I133" s="10" t="n">
        <x:v>395.5</x:v>
      </x:c>
      <x:c r="J133" s="11" t="n">
        <x:v>0.0154</x:v>
      </x:c>
      <x:c r="K133" s="10" t="n">
        <x:v>223.8</x:v>
      </x:c>
      <x:c r="L133" s="10" t="n">
        <x:v>209.9</x:v>
      </x:c>
      <x:c r="M133" s="11" t="n">
        <x:v>-0.0621</x:v>
      </x:c>
      <x:c r="N133" s="10" t="n">
        <x:v>71.3</x:v>
      </x:c>
      <x:c r="O133" s="16" t="n">
        <x:v>-2.8</x:v>
      </x:c>
      <x:c r="P133" s="9" t="inlineStr">
        <x:is>
          <x:t xml:space="preserve">Intensive</x:t>
        </x:is>
      </x:c>
      <x:c r="Q133" s="9" t="inlineStr">
        <x:is>
          <x:t xml:space="preserve">Competitor price cut</x:t>
        </x:is>
      </x:c>
      <x:c r="R133" s="9" t="inlineStr">
        <x:is>
          <x:t xml:space="preserve">Prepare response options to competitor price cut for RGM review</x:t>
        </x:is>
      </x:c>
      <x:c r="S133" s="9" t="inlineStr">
        <x:is>
          <x:t xml:space="preserve">Channel Manager - Convenience</x:t>
        </x:is>
      </x:c>
      <x:c r="T133" s="17" t="n">
        <x:v>46349</x:v>
      </x:c>
      <x:c r="U133" s="9" t="inlineStr">
        <x:is>
          <x:t xml:space="preserve">On track</x:t>
        </x:is>
      </x:c>
      <x:c r="V133" s="9" t="inlineStr">
        <x:is>
          <x:t xml:space="preserve">Pricing</x:t>
        </x:is>
      </x:c>
      <x:c r="W133" s="9" t="inlineStr">
        <x:is>
          <x:t xml:space="preserve">Synthetic - CIE training only</x:t>
        </x:is>
      </x:c>
    </x:row>
    <x:row r="134">
      <x:c r="A134" s="9" t="inlineStr">
        <x:is>
          <x:t xml:space="preserve">TBR-0129</x:t>
        </x:is>
      </x:c>
      <x:c r="B134" s="9" t="inlineStr">
        <x:is>
          <x:t xml:space="preserve">Q3 2026</x:t>
        </x:is>
      </x:c>
      <x:c r="C134" s="9" t="inlineStr">
        <x:is>
          <x:t xml:space="preserve">Türkiye</x:t>
        </x:is>
      </x:c>
      <x:c r="D134" s="9" t="inlineStr">
        <x:is>
          <x:t xml:space="preserve">Convenience &amp; Fuel</x:t>
        </x:is>
      </x:c>
      <x:c r="E134" s="9" t="inlineStr">
        <x:is>
          <x:t xml:space="preserve">Brightwell Fuel &amp; Go (TR)</x:t>
        </x:is>
      </x:c>
      <x:c r="F134" s="9" t="inlineStr">
        <x:is>
          <x:t xml:space="preserve">Core</x:t>
        </x:is>
      </x:c>
      <x:c r="G134" s="9" t="inlineStr">
        <x:is>
          <x:t xml:space="preserve">Heated Products</x:t>
        </x:is>
      </x:c>
      <x:c r="H134" s="10" t="n">
        <x:v>298.7</x:v>
      </x:c>
      <x:c r="I134" s="10" t="n">
        <x:v>280.1</x:v>
      </x:c>
      <x:c r="J134" s="11" t="n">
        <x:v>-0.0623</x:v>
      </x:c>
      <x:c r="K134" s="10" t="n">
        <x:v>175.3</x:v>
      </x:c>
      <x:c r="L134" s="10" t="n">
        <x:v>163.4</x:v>
      </x:c>
      <x:c r="M134" s="11" t="n">
        <x:v>-0.0679</x:v>
      </x:c>
      <x:c r="N134" s="10" t="n">
        <x:v>58.4</x:v>
      </x:c>
      <x:c r="O134" s="16" t="n">
        <x:v>-4.1</x:v>
      </x:c>
      <x:c r="P134" s="9" t="inlineStr">
        <x:is>
          <x:t xml:space="preserve">None</x:t>
        </x:is>
      </x:c>
      <x:c r="Q134" s="9" t="inlineStr">
        <x:is>
          <x:t xml:space="preserve">Competitor price cut</x:t>
        </x:is>
      </x:c>
      <x:c r="R134" s="9" t="inlineStr">
        <x:is>
          <x:t xml:space="preserve">Prepare response options to competitor price cut for RGM review</x:t>
        </x:is>
      </x:c>
      <x:c r="S134" s="9" t="inlineStr">
        <x:is>
          <x:t xml:space="preserve">Channel Manager - Convenience</x:t>
        </x:is>
      </x:c>
      <x:c r="T134" s="17" t="n">
        <x:v>46344</x:v>
      </x:c>
      <x:c r="U134" s="9" t="inlineStr">
        <x:is>
          <x:t xml:space="preserve">Closed</x:t>
        </x:is>
      </x:c>
      <x:c r="V134" s="9" t="inlineStr">
        <x:is>
          <x:t xml:space="preserve">Pricing</x:t>
        </x:is>
      </x:c>
      <x:c r="W134" s="9" t="inlineStr">
        <x:is>
          <x:t xml:space="preserve">Synthetic - CIE training only</x:t>
        </x:is>
      </x:c>
    </x:row>
    <x:row r="135">
      <x:c r="A135" s="9" t="inlineStr">
        <x:is>
          <x:t xml:space="preserve">TBR-0130</x:t>
        </x:is>
      </x:c>
      <x:c r="B135" s="9" t="inlineStr">
        <x:is>
          <x:t xml:space="preserve">Q3 2026</x:t>
        </x:is>
      </x:c>
      <x:c r="C135" s="9" t="inlineStr">
        <x:is>
          <x:t xml:space="preserve">Türkiye</x:t>
        </x:is>
      </x:c>
      <x:c r="D135" s="9" t="inlineStr">
        <x:is>
          <x:t xml:space="preserve">Convenience &amp; Fuel</x:t>
        </x:is>
      </x:c>
      <x:c r="E135" s="9" t="inlineStr">
        <x:is>
          <x:t xml:space="preserve">Falconridge Fuel &amp; Go (TR)</x:t>
        </x:is>
      </x:c>
      <x:c r="F135" s="9" t="inlineStr">
        <x:is>
          <x:t xml:space="preserve">Developing</x:t>
        </x:is>
      </x:c>
      <x:c r="G135" s="9" t="inlineStr">
        <x:is>
          <x:t xml:space="preserve">Modern Oral</x:t>
        </x:is>
      </x:c>
      <x:c r="H135" s="10" t="n">
        <x:v>343.9</x:v>
      </x:c>
      <x:c r="I135" s="10" t="n">
        <x:v>400.5</x:v>
      </x:c>
      <x:c r="J135" s="11" t="n">
        <x:v>0.1646</x:v>
      </x:c>
      <x:c r="K135" s="10" t="n">
        <x:v>163.5</x:v>
      </x:c>
      <x:c r="L135" s="10" t="n">
        <x:v>179.2</x:v>
      </x:c>
      <x:c r="M135" s="11" t="n">
        <x:v>0.096</x:v>
      </x:c>
      <x:c r="N135" s="10" t="n">
        <x:v>81.5</x:v>
      </x:c>
      <x:c r="O135" s="16" t="n">
        <x:v>-3.6</x:v>
      </x:c>
      <x:c r="P135" s="9" t="inlineStr">
        <x:is>
          <x:t xml:space="preserve">Intensive</x:t>
        </x:is>
      </x:c>
      <x:c r="Q135" s="9" t="inlineStr">
        <x:is>
          <x:t xml:space="preserve">Competitor promotion</x:t>
        </x:is>
      </x:c>
      <x:c r="R135" s="9" t="inlineStr">
        <x:is>
          <x:t xml:space="preserve">Review promotion ROI before next cycle</x:t>
        </x:is>
      </x:c>
      <x:c r="S135" s="9" t="inlineStr">
        <x:is>
          <x:t xml:space="preserve">Channel Manager - Convenience</x:t>
        </x:is>
      </x:c>
      <x:c r="T135" s="17" t="n">
        <x:v>46331</x:v>
      </x:c>
      <x:c r="U135" s="9" t="inlineStr">
        <x:is>
          <x:t xml:space="preserve">On track</x:t>
        </x:is>
      </x:c>
      <x:c r="V135" s="9" t="inlineStr">
        <x:is>
          <x:t xml:space="preserve">Trade investment</x:t>
        </x:is>
      </x:c>
      <x:c r="W135" s="9" t="inlineStr">
        <x:is>
          <x:t xml:space="preserve">Synthetic - CIE training only</x:t>
        </x:is>
      </x:c>
    </x:row>
    <x:row r="136">
      <x:c r="A136" s="9" t="inlineStr">
        <x:is>
          <x:t xml:space="preserve">TBR-0131</x:t>
        </x:is>
      </x:c>
      <x:c r="B136" s="9" t="inlineStr">
        <x:is>
          <x:t xml:space="preserve">Q3 2026</x:t>
        </x:is>
      </x:c>
      <x:c r="C136" s="9" t="inlineStr">
        <x:is>
          <x:t xml:space="preserve">Türkiye</x:t>
        </x:is>
      </x:c>
      <x:c r="D136" s="9" t="inlineStr">
        <x:is>
          <x:t xml:space="preserve">Convenience &amp; Fuel</x:t>
        </x:is>
      </x:c>
      <x:c r="E136" s="9" t="inlineStr">
        <x:is>
          <x:t xml:space="preserve">Brightwell Fuel &amp; Go (TR)</x:t>
        </x:is>
      </x:c>
      <x:c r="F136" s="9" t="inlineStr">
        <x:is>
          <x:t xml:space="preserve">Developing</x:t>
        </x:is>
      </x:c>
      <x:c r="G136" s="9" t="inlineStr">
        <x:is>
          <x:t xml:space="preserve">Combustibles</x:t>
        </x:is>
      </x:c>
      <x:c r="H136" s="10" t="n">
        <x:v>282.4</x:v>
      </x:c>
      <x:c r="I136" s="10" t="n">
        <x:v>287.8</x:v>
      </x:c>
      <x:c r="J136" s="11" t="n">
        <x:v>0.0191</x:v>
      </x:c>
      <x:c r="K136" s="10" t="n">
        <x:v>118</x:v>
      </x:c>
      <x:c r="L136" s="10" t="n">
        <x:v>109</x:v>
      </x:c>
      <x:c r="M136" s="11" t="n">
        <x:v>-0.07630000000000001</x:v>
      </x:c>
      <x:c r="N136" s="10" t="n">
        <x:v>81.09999999999999</x:v>
      </x:c>
      <x:c r="O136" s="16" t="n">
        <x:v>-2.9</x:v>
      </x:c>
      <x:c r="P136" s="9" t="inlineStr">
        <x:is>
          <x:t xml:space="preserve">Intensive</x:t>
        </x:is>
      </x:c>
      <x:c r="Q136" s="9" t="inlineStr">
        <x:is>
          <x:t xml:space="preserve">Competitor price cut</x:t>
        </x:is>
      </x:c>
      <x:c r="R136" s="9" t="inlineStr">
        <x:is>
          <x:t xml:space="preserve">Prepare response options to competitor price cut for RGM review</x:t>
        </x:is>
      </x:c>
      <x:c r="S136" s="9" t="inlineStr">
        <x:is>
          <x:t xml:space="preserve">Channel Manager - Convenience</x:t>
        </x:is>
      </x:c>
      <x:c r="T136" s="17" t="n">
        <x:v>46293</x:v>
      </x:c>
      <x:c r="U136" s="9" t="inlineStr">
        <x:is>
          <x:t xml:space="preserve">Closed</x:t>
        </x:is>
      </x:c>
      <x:c r="V136" s="9" t="inlineStr">
        <x:is>
          <x:t xml:space="preserve">Pricing</x:t>
        </x:is>
      </x:c>
      <x:c r="W136" s="9" t="inlineStr">
        <x:is>
          <x:t xml:space="preserve">Synthetic - CIE training only</x:t>
        </x:is>
      </x:c>
    </x:row>
    <x:row r="137">
      <x:c r="A137" s="9" t="inlineStr">
        <x:is>
          <x:t xml:space="preserve">TBR-0132</x:t>
        </x:is>
      </x:c>
      <x:c r="B137" s="9" t="inlineStr">
        <x:is>
          <x:t xml:space="preserve">Q3 2026</x:t>
        </x:is>
      </x:c>
      <x:c r="C137" s="9" t="inlineStr">
        <x:is>
          <x:t xml:space="preserve">Türkiye</x:t>
        </x:is>
      </x:c>
      <x:c r="D137" s="9" t="inlineStr">
        <x:is>
          <x:t xml:space="preserve">Convenience &amp; Fuel</x:t>
        </x:is>
      </x:c>
      <x:c r="E137" s="9" t="inlineStr">
        <x:is>
          <x:t xml:space="preserve">Falconridge Fuel &amp; Go (TR)</x:t>
        </x:is>
      </x:c>
      <x:c r="F137" s="9" t="inlineStr">
        <x:is>
          <x:t xml:space="preserve">Strategic</x:t>
        </x:is>
      </x:c>
      <x:c r="G137" s="9" t="inlineStr">
        <x:is>
          <x:t xml:space="preserve">Combustibles</x:t>
        </x:is>
      </x:c>
      <x:c r="H137" s="10" t="n">
        <x:v>252.2</x:v>
      </x:c>
      <x:c r="I137" s="10" t="n">
        <x:v>228.2</x:v>
      </x:c>
      <x:c r="J137" s="11" t="n">
        <x:v>-0.09520000000000001</x:v>
      </x:c>
      <x:c r="K137" s="10" t="n">
        <x:v>108.3</x:v>
      </x:c>
      <x:c r="L137" s="10" t="n">
        <x:v>96.90000000000001</x:v>
      </x:c>
      <x:c r="M137" s="11" t="n">
        <x:v>-0.1053</x:v>
      </x:c>
      <x:c r="N137" s="10" t="n">
        <x:v>74.3</x:v>
      </x:c>
      <x:c r="O137" s="16" t="n">
        <x:v>-3.3</x:v>
      </x:c>
      <x:c r="P137" s="9" t="inlineStr">
        <x:is>
          <x:t xml:space="preserve">Standard</x:t>
        </x:is>
      </x:c>
      <x:c r="Q137" s="9" t="inlineStr">
        <x:is>
          <x:t xml:space="preserve">Competitor price cut</x:t>
        </x:is>
      </x:c>
      <x:c r="R137" s="9" t="inlineStr">
        <x:is>
          <x:t xml:space="preserve">Prepare response options to competitor price cut for RGM review</x:t>
        </x:is>
      </x:c>
      <x:c r="S137" s="9" t="inlineStr">
        <x:is>
          <x:t xml:space="preserve">Channel Manager - Convenience</x:t>
        </x:is>
      </x:c>
      <x:c r="T137" s="17" t="n">
        <x:v>46302</x:v>
      </x:c>
      <x:c r="U137" s="9" t="inlineStr">
        <x:is>
          <x:t xml:space="preserve">Closed</x:t>
        </x:is>
      </x:c>
      <x:c r="V137" s="9" t="inlineStr">
        <x:is>
          <x:t xml:space="preserve">Pricing</x:t>
        </x:is>
      </x:c>
      <x:c r="W137" s="9" t="inlineStr">
        <x:is>
          <x:t xml:space="preserve">Synthetic - CIE training only</x:t>
        </x:is>
      </x:c>
    </x:row>
    <x:row r="138">
      <x:c r="A138" s="9" t="inlineStr">
        <x:is>
          <x:t xml:space="preserve">TBR-0133</x:t>
        </x:is>
      </x:c>
      <x:c r="B138" s="9" t="inlineStr">
        <x:is>
          <x:t xml:space="preserve">Q3 2026</x:t>
        </x:is>
      </x:c>
      <x:c r="C138" s="9" t="inlineStr">
        <x:is>
          <x:t xml:space="preserve">Türkiye</x:t>
        </x:is>
      </x:c>
      <x:c r="D138" s="9" t="inlineStr">
        <x:is>
          <x:t xml:space="preserve">Convenience &amp; Fuel</x:t>
        </x:is>
      </x:c>
      <x:c r="E138" s="9" t="inlineStr">
        <x:is>
          <x:t xml:space="preserve">Brightwell Fuel &amp; Go (TR)</x:t>
        </x:is>
      </x:c>
      <x:c r="F138" s="9" t="inlineStr">
        <x:is>
          <x:t xml:space="preserve">Strategic</x:t>
        </x:is>
      </x:c>
      <x:c r="G138" s="9" t="inlineStr">
        <x:is>
          <x:t xml:space="preserve">Modern Oral</x:t>
        </x:is>
      </x:c>
      <x:c r="H138" s="10" t="n">
        <x:v>194</x:v>
      </x:c>
      <x:c r="I138" s="10" t="n">
        <x:v>207.7</x:v>
      </x:c>
      <x:c r="J138" s="11" t="n">
        <x:v>0.0706</x:v>
      </x:c>
      <x:c r="K138" s="10" t="n">
        <x:v>94.40000000000001</x:v>
      </x:c>
      <x:c r="L138" s="10" t="n">
        <x:v>102.5</x:v>
      </x:c>
      <x:c r="M138" s="11" t="n">
        <x:v>0.0858</x:v>
      </x:c>
      <x:c r="N138" s="10" t="n">
        <x:v>66.59999999999999</x:v>
      </x:c>
      <x:c r="O138" s="16" t="n">
        <x:v>-3.4</x:v>
      </x:c>
      <x:c r="P138" s="9" t="inlineStr">
        <x:is>
          <x:t xml:space="preserve">None</x:t>
        </x:is>
      </x:c>
      <x:c r="Q138" s="9" t="inlineStr">
        <x:is>
          <x:t xml:space="preserve">Competitor price cut</x:t>
        </x:is>
      </x:c>
      <x:c r="R138" s="9" t="inlineStr">
        <x:is>
          <x:t xml:space="preserve">Prepare response options to competitor price cut for RGM review</x:t>
        </x:is>
      </x:c>
      <x:c r="S138" s="9" t="inlineStr">
        <x:is>
          <x:t xml:space="preserve">Channel Manager - Convenience</x:t>
        </x:is>
      </x:c>
      <x:c r="T138" s="17" t="n">
        <x:v>46325</x:v>
      </x:c>
      <x:c r="U138" s="9" t="inlineStr">
        <x:is>
          <x:t xml:space="preserve">On track</x:t>
        </x:is>
      </x:c>
      <x:c r="V138" s="9" t="inlineStr">
        <x:is>
          <x:t xml:space="preserve">Pricing</x:t>
        </x:is>
      </x:c>
      <x:c r="W138" s="9" t="inlineStr">
        <x:is>
          <x:t xml:space="preserve">Synthetic - CIE training only</x:t>
        </x:is>
      </x:c>
    </x:row>
    <x:row r="139">
      <x:c r="A139" s="9" t="inlineStr">
        <x:is>
          <x:t xml:space="preserve">TBR-0134</x:t>
        </x:is>
      </x:c>
      <x:c r="B139" s="9" t="inlineStr">
        <x:is>
          <x:t xml:space="preserve">Q3 2026</x:t>
        </x:is>
      </x:c>
      <x:c r="C139" s="9" t="inlineStr">
        <x:is>
          <x:t xml:space="preserve">Türkiye</x:t>
        </x:is>
      </x:c>
      <x:c r="D139" s="9" t="inlineStr">
        <x:is>
          <x:t xml:space="preserve">Wholesale</x:t>
        </x:is>
      </x:c>
      <x:c r="E139" s="9" t="inlineStr">
        <x:is>
          <x:t xml:space="preserve">Greenmarch Wholesale (TR)</x:t>
        </x:is>
      </x:c>
      <x:c r="F139" s="9" t="inlineStr">
        <x:is>
          <x:t xml:space="preserve">Developing</x:t>
        </x:is>
      </x:c>
      <x:c r="G139" s="9" t="inlineStr">
        <x:is>
          <x:t xml:space="preserve">Combustibles</x:t>
        </x:is>
      </x:c>
      <x:c r="H139" s="10" t="n">
        <x:v>343.2</x:v>
      </x:c>
      <x:c r="I139" s="10" t="n">
        <x:v>363.5</x:v>
      </x:c>
      <x:c r="J139" s="11" t="n">
        <x:v>0.0591</x:v>
      </x:c>
      <x:c r="K139" s="10" t="n">
        <x:v>143.7</x:v>
      </x:c>
      <x:c r="L139" s="10" t="n">
        <x:v>141.7</x:v>
      </x:c>
      <x:c r="M139" s="11" t="n">
        <x:v>-0.0139</x:v>
      </x:c>
      <x:c r="N139" s="10" t="n">
        <x:v>68</x:v>
      </x:c>
      <x:c r="O139" s="16" t="n">
        <x:v>1.3</x:v>
      </x:c>
      <x:c r="P139" s="9" t="inlineStr">
        <x:is>
          <x:t xml:space="preserve">Intensive</x:t>
        </x:is>
      </x:c>
      <x:c r="Q139" s="9" t="inlineStr">
        <x:is>
          <x:t xml:space="preserve">None</x:t>
        </x:is>
      </x:c>
      <x:c r="R139" s="9" t="inlineStr">
        <x:is>
          <x:t xml:space="preserve">None</x:t>
        </x:is>
      </x:c>
      <x:c r="S139" s="9" t="n"/>
      <x:c r="T139" s="17" t="n"/>
      <x:c r="U139" s="9" t="inlineStr">
        <x:is>
          <x:t xml:space="preserve">No action</x:t>
        </x:is>
      </x:c>
      <x:c r="V139" s="9" t="inlineStr">
        <x:is>
          <x:t xml:space="preserve">None</x:t>
        </x:is>
      </x:c>
      <x:c r="W139" s="9" t="inlineStr">
        <x:is>
          <x:t xml:space="preserve">Synthetic - CIE training only</x:t>
        </x:is>
      </x:c>
    </x:row>
    <x:row r="140">
      <x:c r="A140" s="9" t="inlineStr">
        <x:is>
          <x:t xml:space="preserve">TBR-0135</x:t>
        </x:is>
      </x:c>
      <x:c r="B140" s="9" t="inlineStr">
        <x:is>
          <x:t xml:space="preserve">Q3 2026</x:t>
        </x:is>
      </x:c>
      <x:c r="C140" s="9" t="inlineStr">
        <x:is>
          <x:t xml:space="preserve">Türkiye</x:t>
        </x:is>
      </x:c>
      <x:c r="D140" s="9" t="inlineStr">
        <x:is>
          <x:t xml:space="preserve">Wholesale</x:t>
        </x:is>
      </x:c>
      <x:c r="E140" s="9" t="inlineStr">
        <x:is>
          <x:t xml:space="preserve">Ironvale Wholesale (TR)</x:t>
        </x:is>
      </x:c>
      <x:c r="F140" s="9" t="inlineStr">
        <x:is>
          <x:t xml:space="preserve">Strategic</x:t>
        </x:is>
      </x:c>
      <x:c r="G140" s="9" t="inlineStr">
        <x:is>
          <x:t xml:space="preserve">Vapour</x:t>
        </x:is>
      </x:c>
      <x:c r="H140" s="10" t="n">
        <x:v>534.5</x:v>
      </x:c>
      <x:c r="I140" s="10" t="n">
        <x:v>547.1</x:v>
      </x:c>
      <x:c r="J140" s="11" t="n">
        <x:v>0.0236</x:v>
      </x:c>
      <x:c r="K140" s="10" t="n">
        <x:v>280.1</x:v>
      </x:c>
      <x:c r="L140" s="10" t="n">
        <x:v>283.4</x:v>
      </x:c>
      <x:c r="M140" s="11" t="n">
        <x:v>0.0118</x:v>
      </x:c>
      <x:c r="N140" s="10" t="n">
        <x:v>76.8</x:v>
      </x:c>
      <x:c r="O140" s="16" t="n">
        <x:v>-0.6</x:v>
      </x:c>
      <x:c r="P140" s="9" t="inlineStr">
        <x:is>
          <x:t xml:space="preserve">Standard</x:t>
        </x:is>
      </x:c>
      <x:c r="Q140" s="9" t="inlineStr">
        <x:is>
          <x:t xml:space="preserve">None</x:t>
        </x:is>
      </x:c>
      <x:c r="R140" s="9" t="inlineStr">
        <x:is>
          <x:t xml:space="preserve">None</x:t>
        </x:is>
      </x:c>
      <x:c r="S140" s="9" t="n"/>
      <x:c r="T140" s="17" t="n"/>
      <x:c r="U140" s="9" t="inlineStr">
        <x:is>
          <x:t xml:space="preserve">No action</x:t>
        </x:is>
      </x:c>
      <x:c r="V140" s="9" t="inlineStr">
        <x:is>
          <x:t xml:space="preserve">None</x:t>
        </x:is>
      </x:c>
      <x:c r="W140" s="9" t="inlineStr">
        <x:is>
          <x:t xml:space="preserve">Synthetic - CIE training only</x:t>
        </x:is>
      </x:c>
    </x:row>
    <x:row r="141">
      <x:c r="A141" s="9" t="inlineStr">
        <x:is>
          <x:t xml:space="preserve">TBR-0136</x:t>
        </x:is>
      </x:c>
      <x:c r="B141" s="9" t="inlineStr">
        <x:is>
          <x:t xml:space="preserve">Q3 2026</x:t>
        </x:is>
      </x:c>
      <x:c r="C141" s="9" t="inlineStr">
        <x:is>
          <x:t xml:space="preserve">Türkiye</x:t>
        </x:is>
      </x:c>
      <x:c r="D141" s="9" t="inlineStr">
        <x:is>
          <x:t xml:space="preserve">Wholesale</x:t>
        </x:is>
      </x:c>
      <x:c r="E141" s="9" t="inlineStr">
        <x:is>
          <x:t xml:space="preserve">Greenmarch Wholesale (TR)</x:t>
        </x:is>
      </x:c>
      <x:c r="F141" s="9" t="inlineStr">
        <x:is>
          <x:t xml:space="preserve">Developing</x:t>
        </x:is>
      </x:c>
      <x:c r="G141" s="9" t="inlineStr">
        <x:is>
          <x:t xml:space="preserve">Heated Products</x:t>
        </x:is>
      </x:c>
      <x:c r="H141" s="10" t="n">
        <x:v>447.2</x:v>
      </x:c>
      <x:c r="I141" s="10" t="n">
        <x:v>437.5</x:v>
      </x:c>
      <x:c r="J141" s="11" t="n">
        <x:v>-0.0217</x:v>
      </x:c>
      <x:c r="K141" s="10" t="n">
        <x:v>270.4</x:v>
      </x:c>
      <x:c r="L141" s="10" t="n">
        <x:v>264.5</x:v>
      </x:c>
      <x:c r="M141" s="11" t="n">
        <x:v>-0.0218</x:v>
      </x:c>
      <x:c r="N141" s="10" t="n">
        <x:v>61.7</x:v>
      </x:c>
      <x:c r="O141" s="16" t="n">
        <x:v>0.5</x:v>
      </x:c>
      <x:c r="P141" s="9" t="inlineStr">
        <x:is>
          <x:t xml:space="preserve">None</x:t>
        </x:is>
      </x:c>
      <x:c r="Q141" s="9" t="inlineStr">
        <x:is>
          <x:t xml:space="preserve">None</x:t>
        </x:is>
      </x:c>
      <x:c r="R141" s="9" t="inlineStr">
        <x:is>
          <x:t xml:space="preserve">Validate sell-out data feed with distributor</x:t>
        </x:is>
      </x:c>
      <x:c r="S141" s="9" t="inlineStr">
        <x:is>
          <x:t xml:space="preserve">Distributor Development Manager</x:t>
        </x:is>
      </x:c>
      <x:c r="T141" s="17" t="n">
        <x:v>46348</x:v>
      </x:c>
      <x:c r="U141" s="9" t="inlineStr">
        <x:is>
          <x:t xml:space="preserve">Closed</x:t>
        </x:is>
      </x:c>
      <x:c r="V141" s="9" t="inlineStr">
        <x:is>
          <x:t xml:space="preserve">Data quality</x:t>
        </x:is>
      </x:c>
      <x:c r="W141" s="9" t="inlineStr">
        <x:is>
          <x:t xml:space="preserve">Synthetic - CIE training only</x:t>
        </x:is>
      </x:c>
    </x:row>
    <x:row r="142">
      <x:c r="A142" s="9" t="inlineStr">
        <x:is>
          <x:t xml:space="preserve">TBR-0137</x:t>
        </x:is>
      </x:c>
      <x:c r="B142" s="9" t="inlineStr">
        <x:is>
          <x:t xml:space="preserve">Q3 2026</x:t>
        </x:is>
      </x:c>
      <x:c r="C142" s="9" t="inlineStr">
        <x:is>
          <x:t xml:space="preserve">Türkiye</x:t>
        </x:is>
      </x:c>
      <x:c r="D142" s="9" t="inlineStr">
        <x:is>
          <x:t xml:space="preserve">Wholesale</x:t>
        </x:is>
      </x:c>
      <x:c r="E142" s="9" t="inlineStr">
        <x:is>
          <x:t xml:space="preserve">Ironvale Wholesale (TR)</x:t>
        </x:is>
      </x:c>
      <x:c r="F142" s="9" t="inlineStr">
        <x:is>
          <x:t xml:space="preserve">Developing</x:t>
        </x:is>
      </x:c>
      <x:c r="G142" s="9" t="inlineStr">
        <x:is>
          <x:t xml:space="preserve">Modern Oral</x:t>
        </x:is>
      </x:c>
      <x:c r="H142" s="10" t="n">
        <x:v>532.3</x:v>
      </x:c>
      <x:c r="I142" s="10" t="n">
        <x:v>593.9</x:v>
      </x:c>
      <x:c r="J142" s="11" t="n">
        <x:v>0.1157</x:v>
      </x:c>
      <x:c r="K142" s="10" t="n">
        <x:v>275.7</x:v>
      </x:c>
      <x:c r="L142" s="10" t="n">
        <x:v>300.7</x:v>
      </x:c>
      <x:c r="M142" s="11" t="n">
        <x:v>0.0907</x:v>
      </x:c>
      <x:c r="N142" s="10" t="n">
        <x:v>74</x:v>
      </x:c>
      <x:c r="O142" s="16" t="n">
        <x:v>0.3</x:v>
      </x:c>
      <x:c r="P142" s="9" t="inlineStr">
        <x:is>
          <x:t xml:space="preserve">Standard</x:t>
        </x:is>
      </x:c>
      <x:c r="Q142" s="9" t="inlineStr">
        <x:is>
          <x:t xml:space="preserve">Competitor promotion</x:t>
        </x:is>
      </x:c>
      <x:c r="R142" s="9" t="inlineStr">
        <x:is>
          <x:t xml:space="preserve">Update account plan for Q4</x:t>
        </x:is>
      </x:c>
      <x:c r="S142" s="9" t="inlineStr">
        <x:is>
          <x:t xml:space="preserve">Distributor Development Manager</x:t>
        </x:is>
      </x:c>
      <x:c r="T142" s="17" t="n">
        <x:v>46370</x:v>
      </x:c>
      <x:c r="U142" s="9" t="inlineStr">
        <x:is>
          <x:t xml:space="preserve">Not started</x:t>
        </x:is>
      </x:c>
      <x:c r="V142" s="9" t="inlineStr">
        <x:is>
          <x:t xml:space="preserve">None</x:t>
        </x:is>
      </x:c>
      <x:c r="W142" s="9" t="inlineStr">
        <x:is>
          <x:t xml:space="preserve">Synthetic - CIE training only</x:t>
        </x:is>
      </x:c>
    </x:row>
    <x:row r="143">
      <x:c r="A143" s="9" t="inlineStr">
        <x:is>
          <x:t xml:space="preserve">TBR-0138</x:t>
        </x:is>
      </x:c>
      <x:c r="B143" s="9" t="inlineStr">
        <x:is>
          <x:t xml:space="preserve">Q3 2026</x:t>
        </x:is>
      </x:c>
      <x:c r="C143" s="9" t="inlineStr">
        <x:is>
          <x:t xml:space="preserve">Türkiye</x:t>
        </x:is>
      </x:c>
      <x:c r="D143" s="9" t="inlineStr">
        <x:is>
          <x:t xml:space="preserve">Wholesale</x:t>
        </x:is>
      </x:c>
      <x:c r="E143" s="9" t="inlineStr">
        <x:is>
          <x:t xml:space="preserve">Greenmarch Wholesale (TR)</x:t>
        </x:is>
      </x:c>
      <x:c r="F143" s="9" t="inlineStr">
        <x:is>
          <x:t xml:space="preserve">Strategic</x:t>
        </x:is>
      </x:c>
      <x:c r="G143" s="9" t="inlineStr">
        <x:is>
          <x:t xml:space="preserve">Heated Products</x:t>
        </x:is>
      </x:c>
      <x:c r="H143" s="10" t="n">
        <x:v>620.5</x:v>
      </x:c>
      <x:c r="I143" s="10" t="n">
        <x:v>616.4</x:v>
      </x:c>
      <x:c r="J143" s="11" t="n">
        <x:v>-0.0066</x:v>
      </x:c>
      <x:c r="K143" s="10" t="n">
        <x:v>385.4</x:v>
      </x:c>
      <x:c r="L143" s="10" t="n">
        <x:v>389.5</x:v>
      </x:c>
      <x:c r="M143" s="11" t="n">
        <x:v>0.0106</x:v>
      </x:c>
      <x:c r="N143" s="10" t="n">
        <x:v>78.7</x:v>
      </x:c>
      <x:c r="O143" s="16" t="n">
        <x:v>-0.3</x:v>
      </x:c>
      <x:c r="P143" s="9" t="inlineStr">
        <x:is>
          <x:t xml:space="preserve">None</x:t>
        </x:is>
      </x:c>
      <x:c r="Q143" s="9" t="inlineStr">
        <x:is>
          <x:t xml:space="preserve">Competitor promotion</x:t>
        </x:is>
      </x:c>
      <x:c r="R143" s="9" t="inlineStr">
        <x:is>
          <x:t xml:space="preserve">Validate sell-out data feed with distributor</x:t>
        </x:is>
      </x:c>
      <x:c r="S143" s="9" t="inlineStr">
        <x:is>
          <x:t xml:space="preserve">Distributor Development Manager</x:t>
        </x:is>
      </x:c>
      <x:c r="T143" s="17" t="n">
        <x:v>46282</x:v>
      </x:c>
      <x:c r="U143" s="9" t="inlineStr">
        <x:is>
          <x:t xml:space="preserve">Closed</x:t>
        </x:is>
      </x:c>
      <x:c r="V143" s="9" t="inlineStr">
        <x:is>
          <x:t xml:space="preserve">Data quality</x:t>
        </x:is>
      </x:c>
      <x:c r="W143" s="9" t="inlineStr">
        <x:is>
          <x:t xml:space="preserve">Synthetic - CIE training only</x:t>
        </x:is>
      </x:c>
    </x:row>
    <x:row r="144">
      <x:c r="A144" s="9" t="inlineStr">
        <x:is>
          <x:t xml:space="preserve">TBR-0139</x:t>
        </x:is>
      </x:c>
      <x:c r="B144" s="9" t="inlineStr">
        <x:is>
          <x:t xml:space="preserve">Q3 2026</x:t>
        </x:is>
      </x:c>
      <x:c r="C144" s="9" t="inlineStr">
        <x:is>
          <x:t xml:space="preserve">Türkiye</x:t>
        </x:is>
      </x:c>
      <x:c r="D144" s="9" t="inlineStr">
        <x:is>
          <x:t xml:space="preserve">Wholesale</x:t>
        </x:is>
      </x:c>
      <x:c r="E144" s="9" t="inlineStr">
        <x:is>
          <x:t xml:space="preserve">Ironvale Wholesale (TR)</x:t>
        </x:is>
      </x:c>
      <x:c r="F144" s="9" t="inlineStr">
        <x:is>
          <x:t xml:space="preserve">Strategic</x:t>
        </x:is>
      </x:c>
      <x:c r="G144" s="9" t="inlineStr">
        <x:is>
          <x:t xml:space="preserve">Combustibles</x:t>
        </x:is>
      </x:c>
      <x:c r="H144" s="10" t="n">
        <x:v>687.3</x:v>
      </x:c>
      <x:c r="I144" s="10" t="n">
        <x:v>665.6</x:v>
      </x:c>
      <x:c r="J144" s="11" t="n">
        <x:v>-0.0316</x:v>
      </x:c>
      <x:c r="K144" s="10" t="n">
        <x:v>284</x:v>
      </x:c>
      <x:c r="L144" s="10" t="n">
        <x:v>269.3</x:v>
      </x:c>
      <x:c r="M144" s="11" t="n">
        <x:v>-0.0518</x:v>
      </x:c>
      <x:c r="N144" s="10" t="n">
        <x:v>77.7</x:v>
      </x:c>
      <x:c r="O144" s="16" t="n">
        <x:v>-1</x:v>
      </x:c>
      <x:c r="P144" s="9" t="inlineStr">
        <x:is>
          <x:t xml:space="preserve">Standard</x:t>
        </x:is>
      </x:c>
      <x:c r="Q144" s="9" t="inlineStr">
        <x:is>
          <x:t xml:space="preserve">Competitor promotion</x:t>
        </x:is>
      </x:c>
      <x:c r="R144" s="9" t="inlineStr">
        <x:is>
          <x:t xml:space="preserve">Update account plan for Q4</x:t>
        </x:is>
      </x:c>
      <x:c r="S144" s="9" t="inlineStr">
        <x:is>
          <x:t xml:space="preserve">Distributor Development Manager</x:t>
        </x:is>
      </x:c>
      <x:c r="T144" s="17" t="n">
        <x:v>46331</x:v>
      </x:c>
      <x:c r="U144" s="9" t="inlineStr">
        <x:is>
          <x:t xml:space="preserve">Not started</x:t>
        </x:is>
      </x:c>
      <x:c r="V144" s="9" t="inlineStr">
        <x:is>
          <x:t xml:space="preserve">None</x:t>
        </x:is>
      </x:c>
      <x:c r="W144" s="9" t="inlineStr">
        <x:is>
          <x:t xml:space="preserve">Synthetic - CIE training only</x:t>
        </x:is>
      </x:c>
    </x:row>
    <x:row r="145">
      <x:c r="A145" s="9" t="inlineStr">
        <x:is>
          <x:t xml:space="preserve">TBR-0140</x:t>
        </x:is>
      </x:c>
      <x:c r="B145" s="9" t="inlineStr">
        <x:is>
          <x:t xml:space="preserve">Q3 2026</x:t>
        </x:is>
      </x:c>
      <x:c r="C145" s="9" t="inlineStr">
        <x:is>
          <x:t xml:space="preserve">Türkiye</x:t>
        </x:is>
      </x:c>
      <x:c r="D145" s="9" t="inlineStr">
        <x:is>
          <x:t xml:space="preserve">Wholesale</x:t>
        </x:is>
      </x:c>
      <x:c r="E145" s="9" t="inlineStr">
        <x:is>
          <x:t xml:space="preserve">Greenmarch Wholesale (TR)</x:t>
        </x:is>
      </x:c>
      <x:c r="F145" s="9" t="inlineStr">
        <x:is>
          <x:t xml:space="preserve">Developing</x:t>
        </x:is>
      </x:c>
      <x:c r="G145" s="9" t="inlineStr">
        <x:is>
          <x:t xml:space="preserve">Vapour</x:t>
        </x:is>
      </x:c>
      <x:c r="H145" s="10" t="n">
        <x:v>578.8</x:v>
      </x:c>
      <x:c r="I145" s="10" t="n">
        <x:v>593.3</x:v>
      </x:c>
      <x:c r="J145" s="11" t="n">
        <x:v>0.0251</x:v>
      </x:c>
      <x:c r="K145" s="10" t="n">
        <x:v>322.9</x:v>
      </x:c>
      <x:c r="L145" s="10" t="n">
        <x:v>326.4</x:v>
      </x:c>
      <x:c r="M145" s="11" t="n">
        <x:v>0.0108</x:v>
      </x:c>
      <x:c r="N145" s="10" t="n">
        <x:v>56.7</x:v>
      </x:c>
      <x:c r="O145" s="16" t="n">
        <x:v>-0.1</x:v>
      </x:c>
      <x:c r="P145" s="9" t="inlineStr">
        <x:is>
          <x:t xml:space="preserve">Standard</x:t>
        </x:is>
      </x:c>
      <x:c r="Q145" s="9" t="inlineStr">
        <x:is>
          <x:t xml:space="preserve">Competitor new launch</x:t>
        </x:is>
      </x:c>
      <x:c r="R145" s="9" t="inlineStr">
        <x:is>
          <x:t xml:space="preserve">Assess shelf and range impact of competitor launch</x:t>
        </x:is>
      </x:c>
      <x:c r="S145" s="9" t="inlineStr">
        <x:is>
          <x:t xml:space="preserve">Distributor Development Manager</x:t>
        </x:is>
      </x:c>
      <x:c r="T145" s="17" t="n">
        <x:v>46360</x:v>
      </x:c>
      <x:c r="U145" s="9" t="inlineStr">
        <x:is>
          <x:t xml:space="preserve">On track</x:t>
        </x:is>
      </x:c>
      <x:c r="V145" s="9" t="inlineStr">
        <x:is>
          <x:t xml:space="preserve">Portfolio</x:t>
        </x:is>
      </x:c>
      <x:c r="W145" s="9" t="inlineStr">
        <x:is>
          <x:t xml:space="preserve">Synthetic - CIE training only</x:t>
        </x:is>
      </x:c>
    </x:row>
    <x:row r="146">
      <x:c r="A146" s="9" t="inlineStr">
        <x:is>
          <x:t xml:space="preserve">TBR-0141</x:t>
        </x:is>
      </x:c>
      <x:c r="B146" s="9" t="inlineStr">
        <x:is>
          <x:t xml:space="preserve">Q3 2026</x:t>
        </x:is>
      </x:c>
      <x:c r="C146" s="9" t="inlineStr">
        <x:is>
          <x:t xml:space="preserve">Bulgaria</x:t>
        </x:is>
      </x:c>
      <x:c r="D146" s="9" t="inlineStr">
        <x:is>
          <x:t xml:space="preserve">Key Accounts</x:t>
        </x:is>
      </x:c>
      <x:c r="E146" s="9" t="inlineStr">
        <x:is>
          <x:t xml:space="preserve">Juniper Retail Group (BG)</x:t>
        </x:is>
      </x:c>
      <x:c r="F146" s="9" t="inlineStr">
        <x:is>
          <x:t xml:space="preserve">Strategic</x:t>
        </x:is>
      </x:c>
      <x:c r="G146" s="9" t="inlineStr">
        <x:is>
          <x:t xml:space="preserve">Vapour</x:t>
        </x:is>
      </x:c>
      <x:c r="H146" s="10" t="n">
        <x:v>444.7</x:v>
      </x:c>
      <x:c r="I146" s="10" t="n">
        <x:v>443</x:v>
      </x:c>
      <x:c r="J146" s="11" t="n">
        <x:v>-0.0038</x:v>
      </x:c>
      <x:c r="K146" s="10" t="n">
        <x:v>248.3</x:v>
      </x:c>
      <x:c r="L146" s="10" t="n">
        <x:v>248.5</x:v>
      </x:c>
      <x:c r="M146" s="11" t="n">
        <x:v>0.0008</x:v>
      </x:c>
      <x:c r="N146" s="10" t="n">
        <x:v>84.90000000000001</x:v>
      </x:c>
      <x:c r="O146" s="16" t="n">
        <x:v>0.8</x:v>
      </x:c>
      <x:c r="P146" s="9" t="inlineStr">
        <x:is>
          <x:t xml:space="preserve">None</x:t>
        </x:is>
      </x:c>
      <x:c r="Q146" s="9" t="inlineStr">
        <x:is>
          <x:t xml:space="preserve">None</x:t>
        </x:is>
      </x:c>
      <x:c r="R146" s="9" t="inlineStr">
        <x:is>
          <x:t xml:space="preserve">None</x:t>
        </x:is>
      </x:c>
      <x:c r="S146" s="9" t="n"/>
      <x:c r="T146" s="17" t="n"/>
      <x:c r="U146" s="9" t="inlineStr">
        <x:is>
          <x:t xml:space="preserve">No action</x:t>
        </x:is>
      </x:c>
      <x:c r="V146" s="9" t="inlineStr">
        <x:is>
          <x:t xml:space="preserve">None</x:t>
        </x:is>
      </x:c>
      <x:c r="W146" s="9" t="inlineStr">
        <x:is>
          <x:t xml:space="preserve">Synthetic - CIE training only</x:t>
        </x:is>
      </x:c>
    </x:row>
    <x:row r="147">
      <x:c r="A147" s="9" t="inlineStr">
        <x:is>
          <x:t xml:space="preserve">TBR-0142</x:t>
        </x:is>
      </x:c>
      <x:c r="B147" s="9" t="inlineStr">
        <x:is>
          <x:t xml:space="preserve">Q3 2026</x:t>
        </x:is>
      </x:c>
      <x:c r="C147" s="9" t="inlineStr">
        <x:is>
          <x:t xml:space="preserve">Bulgaria</x:t>
        </x:is>
      </x:c>
      <x:c r="D147" s="9" t="inlineStr">
        <x:is>
          <x:t xml:space="preserve">Key Accounts</x:t>
        </x:is>
      </x:c>
      <x:c r="E147" s="9" t="inlineStr">
        <x:is>
          <x:t xml:space="preserve">Marlow Retail Group (BG)</x:t>
        </x:is>
      </x:c>
      <x:c r="F147" s="9" t="inlineStr">
        <x:is>
          <x:t xml:space="preserve">Strategic</x:t>
        </x:is>
      </x:c>
      <x:c r="G147" s="9" t="inlineStr">
        <x:is>
          <x:t xml:space="preserve">Heated Products</x:t>
        </x:is>
      </x:c>
      <x:c r="H147" s="10" t="n">
        <x:v>559.7</x:v>
      </x:c>
      <x:c r="I147" s="10" t="n">
        <x:v>576.6</x:v>
      </x:c>
      <x:c r="J147" s="11" t="n">
        <x:v>0.0302</x:v>
      </x:c>
      <x:c r="K147" s="10" t="n">
        <x:v>340.2</x:v>
      </x:c>
      <x:c r="L147" s="10" t="n">
        <x:v>340.7</x:v>
      </x:c>
      <x:c r="M147" s="11" t="n">
        <x:v>0.0015</x:v>
      </x:c>
      <x:c r="N147" s="10" t="n">
        <x:v>74.5</x:v>
      </x:c>
      <x:c r="O147" s="16" t="n">
        <x:v>-0.2</x:v>
      </x:c>
      <x:c r="P147" s="9" t="inlineStr">
        <x:is>
          <x:t xml:space="preserve">Standard</x:t>
        </x:is>
      </x:c>
      <x:c r="Q147" s="9" t="inlineStr">
        <x:is>
          <x:t xml:space="preserve">Competitor new launch</x:t>
        </x:is>
      </x:c>
      <x:c r="R147" s="9" t="inlineStr">
        <x:is>
          <x:t xml:space="preserve">Assess shelf and range impact of competitor launch</x:t>
        </x:is>
      </x:c>
      <x:c r="S147" s="9" t="inlineStr">
        <x:is>
          <x:t xml:space="preserve">Key Account Manager</x:t>
        </x:is>
      </x:c>
      <x:c r="T147" s="17" t="n">
        <x:v>46370</x:v>
      </x:c>
      <x:c r="U147" s="9" t="inlineStr">
        <x:is>
          <x:t xml:space="preserve">Closed</x:t>
        </x:is>
      </x:c>
      <x:c r="V147" s="9" t="inlineStr">
        <x:is>
          <x:t xml:space="preserve">Portfolio</x:t>
        </x:is>
      </x:c>
      <x:c r="W147" s="9" t="inlineStr">
        <x:is>
          <x:t xml:space="preserve">Synthetic - CIE training only</x:t>
        </x:is>
      </x:c>
    </x:row>
    <x:row r="148">
      <x:c r="A148" s="9" t="inlineStr">
        <x:is>
          <x:t xml:space="preserve">TBR-0143</x:t>
        </x:is>
      </x:c>
      <x:c r="B148" s="9" t="inlineStr">
        <x:is>
          <x:t xml:space="preserve">Q3 2026</x:t>
        </x:is>
      </x:c>
      <x:c r="C148" s="9" t="inlineStr">
        <x:is>
          <x:t xml:space="preserve">Bulgaria</x:t>
        </x:is>
      </x:c>
      <x:c r="D148" s="9" t="inlineStr">
        <x:is>
          <x:t xml:space="preserve">Key Accounts</x:t>
        </x:is>
      </x:c>
      <x:c r="E148" s="9" t="inlineStr">
        <x:is>
          <x:t xml:space="preserve">Juniper Retail Group (BG)</x:t>
        </x:is>
      </x:c>
      <x:c r="F148" s="9" t="inlineStr">
        <x:is>
          <x:t xml:space="preserve">Strategic</x:t>
        </x:is>
      </x:c>
      <x:c r="G148" s="9" t="inlineStr">
        <x:is>
          <x:t xml:space="preserve">Modern Oral</x:t>
        </x:is>
      </x:c>
      <x:c r="H148" s="10" t="n">
        <x:v>525.4</x:v>
      </x:c>
      <x:c r="I148" s="10" t="n">
        <x:v>578.3</x:v>
      </x:c>
      <x:c r="J148" s="11" t="n">
        <x:v>0.1007</x:v>
      </x:c>
      <x:c r="K148" s="10" t="n">
        <x:v>266.9</x:v>
      </x:c>
      <x:c r="L148" s="10" t="n">
        <x:v>292.5</x:v>
      </x:c>
      <x:c r="M148" s="11" t="n">
        <x:v>0.0959</x:v>
      </x:c>
      <x:c r="N148" s="10" t="n">
        <x:v>60.8</x:v>
      </x:c>
      <x:c r="O148" s="16" t="n">
        <x:v>2</x:v>
      </x:c>
      <x:c r="P148" s="9" t="inlineStr">
        <x:is>
          <x:t xml:space="preserve">None</x:t>
        </x:is>
      </x:c>
      <x:c r="Q148" s="9" t="inlineStr">
        <x:is>
          <x:t xml:space="preserve">None</x:t>
        </x:is>
      </x:c>
      <x:c r="R148" s="9" t="inlineStr">
        <x:is>
          <x:t xml:space="preserve">None</x:t>
        </x:is>
      </x:c>
      <x:c r="S148" s="9" t="n"/>
      <x:c r="T148" s="17" t="n"/>
      <x:c r="U148" s="9" t="inlineStr">
        <x:is>
          <x:t xml:space="preserve">No action</x:t>
        </x:is>
      </x:c>
      <x:c r="V148" s="9" t="inlineStr">
        <x:is>
          <x:t xml:space="preserve">None</x:t>
        </x:is>
      </x:c>
      <x:c r="W148" s="9" t="inlineStr">
        <x:is>
          <x:t xml:space="preserve">Synthetic - CIE training only</x:t>
        </x:is>
      </x:c>
    </x:row>
    <x:row r="149">
      <x:c r="A149" s="9" t="inlineStr">
        <x:is>
          <x:t xml:space="preserve">TBR-0144</x:t>
        </x:is>
      </x:c>
      <x:c r="B149" s="9" t="inlineStr">
        <x:is>
          <x:t xml:space="preserve">Q3 2026</x:t>
        </x:is>
      </x:c>
      <x:c r="C149" s="9" t="inlineStr">
        <x:is>
          <x:t xml:space="preserve">Bulgaria</x:t>
        </x:is>
      </x:c>
      <x:c r="D149" s="9" t="inlineStr">
        <x:is>
          <x:t xml:space="preserve">Key Accounts</x:t>
        </x:is>
      </x:c>
      <x:c r="E149" s="9" t="inlineStr">
        <x:is>
          <x:t xml:space="preserve">Marlow Retail Group (BG)</x:t>
        </x:is>
      </x:c>
      <x:c r="F149" s="9" t="inlineStr">
        <x:is>
          <x:t xml:space="preserve">Developing</x:t>
        </x:is>
      </x:c>
      <x:c r="G149" s="9" t="inlineStr">
        <x:is>
          <x:t xml:space="preserve">Combustibles</x:t>
        </x:is>
      </x:c>
      <x:c r="H149" s="10" t="n">
        <x:v>519.3</x:v>
      </x:c>
      <x:c r="I149" s="10" t="n">
        <x:v>523.8</x:v>
      </x:c>
      <x:c r="J149" s="11" t="n">
        <x:v>0.008699999999999999</x:v>
      </x:c>
      <x:c r="K149" s="10" t="n">
        <x:v>211.2</x:v>
      </x:c>
      <x:c r="L149" s="10" t="n">
        <x:v>207.3</x:v>
      </x:c>
      <x:c r="M149" s="11" t="n">
        <x:v>-0.0185</x:v>
      </x:c>
      <x:c r="N149" s="10" t="n">
        <x:v>65.7</x:v>
      </x:c>
      <x:c r="O149" s="16" t="n">
        <x:v>1.1</x:v>
      </x:c>
      <x:c r="P149" s="9" t="inlineStr">
        <x:is>
          <x:t xml:space="preserve">None</x:t>
        </x:is>
      </x:c>
      <x:c r="Q149" s="9" t="inlineStr">
        <x:is>
          <x:t xml:space="preserve">Display space lost</x:t>
        </x:is>
      </x:c>
      <x:c r="R149" s="9" t="inlineStr">
        <x:is>
          <x:t xml:space="preserve">Agree display recovery plan with account (no terms committed)</x:t>
        </x:is>
      </x:c>
      <x:c r="S149" s="9" t="inlineStr">
        <x:is>
          <x:t xml:space="preserve">Key Account Manager</x:t>
        </x:is>
      </x:c>
      <x:c r="T149" s="17" t="n">
        <x:v>46337</x:v>
      </x:c>
      <x:c r="U149" s="9" t="inlineStr">
        <x:is>
          <x:t xml:space="preserve">Not started</x:t>
        </x:is>
      </x:c>
      <x:c r="V149" s="9" t="inlineStr">
        <x:is>
          <x:t xml:space="preserve">Customer terms</x:t>
        </x:is>
      </x:c>
      <x:c r="W149" s="9" t="inlineStr">
        <x:is>
          <x:t xml:space="preserve">Synthetic - CIE training only</x:t>
        </x:is>
      </x:c>
    </x:row>
    <x:row r="150">
      <x:c r="A150" s="9" t="inlineStr">
        <x:is>
          <x:t xml:space="preserve">TBR-0145</x:t>
        </x:is>
      </x:c>
      <x:c r="B150" s="9" t="inlineStr">
        <x:is>
          <x:t xml:space="preserve">Q3 2026</x:t>
        </x:is>
      </x:c>
      <x:c r="C150" s="9" t="inlineStr">
        <x:is>
          <x:t xml:space="preserve">Bulgaria</x:t>
        </x:is>
      </x:c>
      <x:c r="D150" s="9" t="inlineStr">
        <x:is>
          <x:t xml:space="preserve">Key Accounts</x:t>
        </x:is>
      </x:c>
      <x:c r="E150" s="9" t="inlineStr">
        <x:is>
          <x:t xml:space="preserve">Juniper Retail Group (BG)</x:t>
        </x:is>
      </x:c>
      <x:c r="F150" s="9" t="inlineStr">
        <x:is>
          <x:t xml:space="preserve">Strategic</x:t>
        </x:is>
      </x:c>
      <x:c r="G150" s="9" t="inlineStr">
        <x:is>
          <x:t xml:space="preserve">Combustibles</x:t>
        </x:is>
      </x:c>
      <x:c r="H150" s="10" t="n">
        <x:v>733.3</x:v>
      </x:c>
      <x:c r="I150" s="10" t="n">
        <x:v>731.2</x:v>
      </x:c>
      <x:c r="J150" s="11" t="n">
        <x:v>-0.0029</x:v>
      </x:c>
      <x:c r="K150" s="10" t="n">
        <x:v>309.5</x:v>
      </x:c>
      <x:c r="L150" s="10" t="n">
        <x:v>299.8</x:v>
      </x:c>
      <x:c r="M150" s="11" t="n">
        <x:v>-0.0313</x:v>
      </x:c>
      <x:c r="N150" s="10" t="n">
        <x:v>85</x:v>
      </x:c>
      <x:c r="O150" s="16" t="n">
        <x:v>0.1</x:v>
      </x:c>
      <x:c r="P150" s="9" t="inlineStr">
        <x:is>
          <x:t xml:space="preserve">Standard</x:t>
        </x:is>
      </x:c>
      <x:c r="Q150" s="9" t="inlineStr">
        <x:is>
          <x:t xml:space="preserve">None</x:t>
        </x:is>
      </x:c>
      <x:c r="R150" s="9" t="inlineStr">
        <x:is>
          <x:t xml:space="preserve">None</x:t>
        </x:is>
      </x:c>
      <x:c r="S150" s="9" t="n"/>
      <x:c r="T150" s="17" t="n"/>
      <x:c r="U150" s="9" t="inlineStr">
        <x:is>
          <x:t xml:space="preserve">No action</x:t>
        </x:is>
      </x:c>
      <x:c r="V150" s="9" t="inlineStr">
        <x:is>
          <x:t xml:space="preserve">None</x:t>
        </x:is>
      </x:c>
      <x:c r="W150" s="9" t="inlineStr">
        <x:is>
          <x:t xml:space="preserve">Synthetic - CIE training only</x:t>
        </x:is>
      </x:c>
    </x:row>
    <x:row r="151">
      <x:c r="A151" s="9" t="inlineStr">
        <x:is>
          <x:t xml:space="preserve">TBR-0146</x:t>
        </x:is>
      </x:c>
      <x:c r="B151" s="9" t="inlineStr">
        <x:is>
          <x:t xml:space="preserve">Q3 2026</x:t>
        </x:is>
      </x:c>
      <x:c r="C151" s="9" t="inlineStr">
        <x:is>
          <x:t xml:space="preserve">Bulgaria</x:t>
        </x:is>
      </x:c>
      <x:c r="D151" s="9" t="inlineStr">
        <x:is>
          <x:t xml:space="preserve">Key Accounts</x:t>
        </x:is>
      </x:c>
      <x:c r="E151" s="9" t="inlineStr">
        <x:is>
          <x:t xml:space="preserve">Marlow Retail Group (BG)</x:t>
        </x:is>
      </x:c>
      <x:c r="F151" s="9" t="inlineStr">
        <x:is>
          <x:t xml:space="preserve">Developing</x:t>
        </x:is>
      </x:c>
      <x:c r="G151" s="9" t="inlineStr">
        <x:is>
          <x:t xml:space="preserve">Modern Oral</x:t>
        </x:is>
      </x:c>
      <x:c r="H151" s="10" t="n">
        <x:v>529.1</x:v>
      </x:c>
      <x:c r="I151" s="10" t="n">
        <x:v>578.9</x:v>
      </x:c>
      <x:c r="J151" s="11" t="n">
        <x:v>0.0941</x:v>
      </x:c>
      <x:c r="K151" s="10" t="n">
        <x:v>268.1</x:v>
      </x:c>
      <x:c r="L151" s="10" t="n">
        <x:v>293.1</x:v>
      </x:c>
      <x:c r="M151" s="11" t="n">
        <x:v>0.09320000000000001</x:v>
      </x:c>
      <x:c r="N151" s="10" t="n">
        <x:v>78.09999999999999</x:v>
      </x:c>
      <x:c r="O151" s="16" t="n">
        <x:v>0.5</x:v>
      </x:c>
      <x:c r="P151" s="9" t="inlineStr">
        <x:is>
          <x:t xml:space="preserve">Standard</x:t>
        </x:is>
      </x:c>
      <x:c r="Q151" s="9" t="inlineStr">
        <x:is>
          <x:t xml:space="preserve">None</x:t>
        </x:is>
      </x:c>
      <x:c r="R151" s="9" t="inlineStr">
        <x:is>
          <x:t xml:space="preserve">None</x:t>
        </x:is>
      </x:c>
      <x:c r="S151" s="9" t="n"/>
      <x:c r="T151" s="17" t="n"/>
      <x:c r="U151" s="9" t="inlineStr">
        <x:is>
          <x:t xml:space="preserve">No action</x:t>
        </x:is>
      </x:c>
      <x:c r="V151" s="9" t="inlineStr">
        <x:is>
          <x:t xml:space="preserve">None</x:t>
        </x:is>
      </x:c>
      <x:c r="W151" s="9" t="inlineStr">
        <x:is>
          <x:t xml:space="preserve">Synthetic - CIE training only</x:t>
        </x:is>
      </x:c>
    </x:row>
    <x:row r="152">
      <x:c r="A152" s="9" t="inlineStr">
        <x:is>
          <x:t xml:space="preserve">TBR-0147</x:t>
        </x:is>
      </x:c>
      <x:c r="B152" s="9" t="inlineStr">
        <x:is>
          <x:t xml:space="preserve">Q3 2026</x:t>
        </x:is>
      </x:c>
      <x:c r="C152" s="9" t="inlineStr">
        <x:is>
          <x:t xml:space="preserve">Bulgaria</x:t>
        </x:is>
      </x:c>
      <x:c r="D152" s="9" t="inlineStr">
        <x:is>
          <x:t xml:space="preserve">Key Accounts</x:t>
        </x:is>
      </x:c>
      <x:c r="E152" s="9" t="inlineStr">
        <x:is>
          <x:t xml:space="preserve">Juniper Retail Group (BG)</x:t>
        </x:is>
      </x:c>
      <x:c r="F152" s="9" t="inlineStr">
        <x:is>
          <x:t xml:space="preserve">Strategic</x:t>
        </x:is>
      </x:c>
      <x:c r="G152" s="9" t="inlineStr">
        <x:is>
          <x:t xml:space="preserve">Vapour</x:t>
        </x:is>
      </x:c>
      <x:c r="H152" s="10" t="n">
        <x:v>434</x:v>
      </x:c>
      <x:c r="I152" s="10" t="n">
        <x:v>437.1</x:v>
      </x:c>
      <x:c r="J152" s="11" t="n">
        <x:v>0.0071</x:v>
      </x:c>
      <x:c r="K152" s="10" t="n">
        <x:v>241.3</x:v>
      </x:c>
      <x:c r="L152" s="10" t="n">
        <x:v>247.7</x:v>
      </x:c>
      <x:c r="M152" s="11" t="n">
        <x:v>0.0265</x:v>
      </x:c>
      <x:c r="N152" s="10" t="n">
        <x:v>74.7</x:v>
      </x:c>
      <x:c r="O152" s="16" t="n">
        <x:v>0.4</x:v>
      </x:c>
      <x:c r="P152" s="9" t="inlineStr">
        <x:is>
          <x:t xml:space="preserve">None</x:t>
        </x:is>
      </x:c>
      <x:c r="Q152" s="9" t="inlineStr">
        <x:is>
          <x:t xml:space="preserve">Competitor new launch</x:t>
        </x:is>
      </x:c>
      <x:c r="R152" s="9" t="inlineStr">
        <x:is>
          <x:t xml:space="preserve">Assess shelf and range impact of competitor launch</x:t>
        </x:is>
      </x:c>
      <x:c r="S152" s="9" t="inlineStr">
        <x:is>
          <x:t xml:space="preserve">Key Account Manager</x:t>
        </x:is>
      </x:c>
      <x:c r="T152" s="17" t="n">
        <x:v>46361</x:v>
      </x:c>
      <x:c r="U152" s="9" t="inlineStr">
        <x:is>
          <x:t xml:space="preserve">Not started</x:t>
        </x:is>
      </x:c>
      <x:c r="V152" s="9" t="inlineStr">
        <x:is>
          <x:t xml:space="preserve">Portfolio</x:t>
        </x:is>
      </x:c>
      <x:c r="W152" s="9" t="inlineStr">
        <x:is>
          <x:t xml:space="preserve">Synthetic - CIE training only</x:t>
        </x:is>
      </x:c>
    </x:row>
    <x:row r="153">
      <x:c r="A153" s="9" t="inlineStr">
        <x:is>
          <x:t xml:space="preserve">TBR-0148</x:t>
        </x:is>
      </x:c>
      <x:c r="B153" s="9" t="inlineStr">
        <x:is>
          <x:t xml:space="preserve">Q3 2026</x:t>
        </x:is>
      </x:c>
      <x:c r="C153" s="9" t="inlineStr">
        <x:is>
          <x:t xml:space="preserve">Bulgaria</x:t>
        </x:is>
      </x:c>
      <x:c r="D153" s="9" t="inlineStr">
        <x:is>
          <x:t xml:space="preserve">Traditional Trade</x:t>
        </x:is>
      </x:c>
      <x:c r="E153" s="9" t="inlineStr">
        <x:is>
          <x:t xml:space="preserve">Oakhurst Independents Network (BG)</x:t>
        </x:is>
      </x:c>
      <x:c r="F153" s="9" t="inlineStr">
        <x:is>
          <x:t xml:space="preserve">Developing</x:t>
        </x:is>
      </x:c>
      <x:c r="G153" s="9" t="inlineStr">
        <x:is>
          <x:t xml:space="preserve">Vapour</x:t>
        </x:is>
      </x:c>
      <x:c r="H153" s="10" t="n">
        <x:v>522.8</x:v>
      </x:c>
      <x:c r="I153" s="10" t="n">
        <x:v>523.4</x:v>
      </x:c>
      <x:c r="J153" s="11" t="n">
        <x:v>0.0011</x:v>
      </x:c>
      <x:c r="K153" s="10" t="n">
        <x:v>284.1</x:v>
      </x:c>
      <x:c r="L153" s="10" t="n">
        <x:v>283.7</x:v>
      </x:c>
      <x:c r="M153" s="11" t="n">
        <x:v>-0.0014</x:v>
      </x:c>
      <x:c r="N153" s="10" t="n">
        <x:v>61.5</x:v>
      </x:c>
      <x:c r="O153" s="16" t="n">
        <x:v>-1.4</x:v>
      </x:c>
      <x:c r="P153" s="9" t="inlineStr">
        <x:is>
          <x:t xml:space="preserve">None</x:t>
        </x:is>
      </x:c>
      <x:c r="Q153" s="9" t="inlineStr">
        <x:is>
          <x:t xml:space="preserve">None</x:t>
        </x:is>
      </x:c>
      <x:c r="R153" s="9" t="inlineStr">
        <x:is>
          <x:t xml:space="preserve">Close distribution gap in priority outlets</x:t>
        </x:is>
      </x:c>
      <x:c r="S153" s="9" t="inlineStr">
        <x:is>
          <x:t xml:space="preserve">Area Sales Manager</x:t>
        </x:is>
      </x:c>
      <x:c r="T153" s="17" t="n">
        <x:v>46284</x:v>
      </x:c>
      <x:c r="U153" s="9" t="inlineStr">
        <x:is>
          <x:t xml:space="preserve">Closed</x:t>
        </x:is>
      </x:c>
      <x:c r="V153" s="9" t="inlineStr">
        <x:is>
          <x:t xml:space="preserve">None</x:t>
        </x:is>
      </x:c>
      <x:c r="W153" s="9" t="inlineStr">
        <x:is>
          <x:t xml:space="preserve">Synthetic - CIE training only</x:t>
        </x:is>
      </x:c>
    </x:row>
    <x:row r="154">
      <x:c r="A154" s="9" t="inlineStr">
        <x:is>
          <x:t xml:space="preserve">TBR-0149</x:t>
        </x:is>
      </x:c>
      <x:c r="B154" s="9" t="inlineStr">
        <x:is>
          <x:t xml:space="preserve">Q3 2026</x:t>
        </x:is>
      </x:c>
      <x:c r="C154" s="9" t="inlineStr">
        <x:is>
          <x:t xml:space="preserve">Bulgaria</x:t>
        </x:is>
      </x:c>
      <x:c r="D154" s="9" t="inlineStr">
        <x:is>
          <x:t xml:space="preserve">Traditional Trade</x:t>
        </x:is>
      </x:c>
      <x:c r="E154" s="9" t="inlineStr">
        <x:is>
          <x:t xml:space="preserve">Pinecrest Independents Network (BG)</x:t>
        </x:is>
      </x:c>
      <x:c r="F154" s="9" t="inlineStr">
        <x:is>
          <x:t xml:space="preserve">Strategic</x:t>
        </x:is>
      </x:c>
      <x:c r="G154" s="9" t="inlineStr">
        <x:is>
          <x:t xml:space="preserve">Heated Products</x:t>
        </x:is>
      </x:c>
      <x:c r="H154" s="10" t="n">
        <x:v>468.5</x:v>
      </x:c>
      <x:c r="I154" s="10" t="n">
        <x:v>506.4</x:v>
      </x:c>
      <x:c r="J154" s="11" t="n">
        <x:v>0.0809</x:v>
      </x:c>
      <x:c r="K154" s="10" t="n">
        <x:v>275.5</x:v>
      </x:c>
      <x:c r="L154" s="10" t="n">
        <x:v>264.6</x:v>
      </x:c>
      <x:c r="M154" s="11" t="n">
        <x:v>-0.0396</x:v>
      </x:c>
      <x:c r="N154" s="10" t="n">
        <x:v>81.59999999999999</x:v>
      </x:c>
      <x:c r="O154" s="16" t="n">
        <x:v>-0.5</x:v>
      </x:c>
      <x:c r="P154" s="9" t="inlineStr">
        <x:is>
          <x:t xml:space="preserve">Intensive</x:t>
        </x:is>
      </x:c>
      <x:c r="Q154" s="9" t="inlineStr">
        <x:is>
          <x:t xml:space="preserve">None</x:t>
        </x:is>
      </x:c>
      <x:c r="R154" s="9" t="inlineStr">
        <x:is>
          <x:t xml:space="preserve">None</x:t>
        </x:is>
      </x:c>
      <x:c r="S154" s="9" t="n"/>
      <x:c r="T154" s="17" t="n"/>
      <x:c r="U154" s="9" t="inlineStr">
        <x:is>
          <x:t xml:space="preserve">No action</x:t>
        </x:is>
      </x:c>
      <x:c r="V154" s="9" t="inlineStr">
        <x:is>
          <x:t xml:space="preserve">None</x:t>
        </x:is>
      </x:c>
      <x:c r="W154" s="9" t="inlineStr">
        <x:is>
          <x:t xml:space="preserve">Synthetic - CIE training only</x:t>
        </x:is>
      </x:c>
    </x:row>
    <x:row r="155">
      <x:c r="A155" s="9" t="inlineStr">
        <x:is>
          <x:t xml:space="preserve">TBR-0150</x:t>
        </x:is>
      </x:c>
      <x:c r="B155" s="9" t="inlineStr">
        <x:is>
          <x:t xml:space="preserve">Q3 2026</x:t>
        </x:is>
      </x:c>
      <x:c r="C155" s="9" t="inlineStr">
        <x:is>
          <x:t xml:space="preserve">Bulgaria</x:t>
        </x:is>
      </x:c>
      <x:c r="D155" s="9" t="inlineStr">
        <x:is>
          <x:t xml:space="preserve">Traditional Trade</x:t>
        </x:is>
      </x:c>
      <x:c r="E155" s="9" t="inlineStr">
        <x:is>
          <x:t xml:space="preserve">Oakhurst Independents Network (BG)</x:t>
        </x:is>
      </x:c>
      <x:c r="F155" s="9" t="inlineStr">
        <x:is>
          <x:t xml:space="preserve">Developing</x:t>
        </x:is>
      </x:c>
      <x:c r="G155" s="9" t="inlineStr">
        <x:is>
          <x:t xml:space="preserve">Modern Oral</x:t>
        </x:is>
      </x:c>
      <x:c r="H155" s="10" t="n">
        <x:v>437.7</x:v>
      </x:c>
      <x:c r="I155" s="10" t="n">
        <x:v>489.3</x:v>
      </x:c>
      <x:c r="J155" s="11" t="n">
        <x:v>0.1179</x:v>
      </x:c>
      <x:c r="K155" s="10" t="n">
        <x:v>225.3</x:v>
      </x:c>
      <x:c r="L155" s="10" t="n">
        <x:v>248.6</x:v>
      </x:c>
      <x:c r="M155" s="11" t="n">
        <x:v>0.1034</x:v>
      </x:c>
      <x:c r="N155" s="10" t="n">
        <x:v>71.7</x:v>
      </x:c>
      <x:c r="O155" s="16" t="n">
        <x:v>1.8</x:v>
      </x:c>
      <x:c r="P155" s="9" t="inlineStr">
        <x:is>
          <x:t xml:space="preserve">Standard</x:t>
        </x:is>
      </x:c>
      <x:c r="Q155" s="9" t="inlineStr">
        <x:is>
          <x:t xml:space="preserve">None</x:t>
        </x:is>
      </x:c>
      <x:c r="R155" s="9" t="inlineStr">
        <x:is>
          <x:t xml:space="preserve">None</x:t>
        </x:is>
      </x:c>
      <x:c r="S155" s="9" t="n"/>
      <x:c r="T155" s="17" t="n"/>
      <x:c r="U155" s="9" t="inlineStr">
        <x:is>
          <x:t xml:space="preserve">No action</x:t>
        </x:is>
      </x:c>
      <x:c r="V155" s="9" t="inlineStr">
        <x:is>
          <x:t xml:space="preserve">None</x:t>
        </x:is>
      </x:c>
      <x:c r="W155" s="9" t="inlineStr">
        <x:is>
          <x:t xml:space="preserve">Synthetic - CIE training only</x:t>
        </x:is>
      </x:c>
    </x:row>
    <x:row r="156">
      <x:c r="A156" s="9" t="inlineStr">
        <x:is>
          <x:t xml:space="preserve">TBR-0151</x:t>
        </x:is>
      </x:c>
      <x:c r="B156" s="9" t="inlineStr">
        <x:is>
          <x:t xml:space="preserve">Q3 2026</x:t>
        </x:is>
      </x:c>
      <x:c r="C156" s="9" t="inlineStr">
        <x:is>
          <x:t xml:space="preserve">Bulgaria</x:t>
        </x:is>
      </x:c>
      <x:c r="D156" s="9" t="inlineStr">
        <x:is>
          <x:t xml:space="preserve">Traditional Trade</x:t>
        </x:is>
      </x:c>
      <x:c r="E156" s="9" t="inlineStr">
        <x:is>
          <x:t xml:space="preserve">Pinecrest Independents Network (BG)</x:t>
        </x:is>
      </x:c>
      <x:c r="F156" s="9" t="inlineStr">
        <x:is>
          <x:t xml:space="preserve">Developing</x:t>
        </x:is>
      </x:c>
      <x:c r="G156" s="9" t="inlineStr">
        <x:is>
          <x:t xml:space="preserve">Combustibles</x:t>
        </x:is>
      </x:c>
      <x:c r="H156" s="10" t="n">
        <x:v>326.7</x:v>
      </x:c>
      <x:c r="I156" s="10" t="n">
        <x:v>318.9</x:v>
      </x:c>
      <x:c r="J156" s="11" t="n">
        <x:v>-0.0239</x:v>
      </x:c>
      <x:c r="K156" s="10" t="n">
        <x:v>136.6</x:v>
      </x:c>
      <x:c r="L156" s="10" t="n">
        <x:v>130.3</x:v>
      </x:c>
      <x:c r="M156" s="11" t="n">
        <x:v>-0.0461</x:v>
      </x:c>
      <x:c r="N156" s="10" t="n">
        <x:v>60.2</x:v>
      </x:c>
      <x:c r="O156" s="16" t="n">
        <x:v>1</x:v>
      </x:c>
      <x:c r="P156" s="9" t="inlineStr">
        <x:is>
          <x:t xml:space="preserve">Standard</x:t>
        </x:is>
      </x:c>
      <x:c r="Q156" s="9" t="inlineStr">
        <x:is>
          <x:t xml:space="preserve">Competitor new launch</x:t>
        </x:is>
      </x:c>
      <x:c r="R156" s="9" t="inlineStr">
        <x:is>
          <x:t xml:space="preserve">Assess shelf and range impact of competitor launch</x:t>
        </x:is>
      </x:c>
      <x:c r="S156" s="9" t="inlineStr">
        <x:is>
          <x:t xml:space="preserve">Area Sales Manager</x:t>
        </x:is>
      </x:c>
      <x:c r="T156" s="17" t="n">
        <x:v>46346</x:v>
      </x:c>
      <x:c r="U156" s="9" t="inlineStr">
        <x:is>
          <x:t xml:space="preserve">On track</x:t>
        </x:is>
      </x:c>
      <x:c r="V156" s="9" t="inlineStr">
        <x:is>
          <x:t xml:space="preserve">Portfolio</x:t>
        </x:is>
      </x:c>
      <x:c r="W156" s="9" t="inlineStr">
        <x:is>
          <x:t xml:space="preserve">Synthetic - CIE training only</x:t>
        </x:is>
      </x:c>
    </x:row>
    <x:row r="157">
      <x:c r="A157" s="9" t="inlineStr">
        <x:is>
          <x:t xml:space="preserve">TBR-0152</x:t>
        </x:is>
      </x:c>
      <x:c r="B157" s="9" t="inlineStr">
        <x:is>
          <x:t xml:space="preserve">Q3 2026</x:t>
        </x:is>
      </x:c>
      <x:c r="C157" s="9" t="inlineStr">
        <x:is>
          <x:t xml:space="preserve">Bulgaria</x:t>
        </x:is>
      </x:c>
      <x:c r="D157" s="9" t="inlineStr">
        <x:is>
          <x:t xml:space="preserve">Traditional Trade</x:t>
        </x:is>
      </x:c>
      <x:c r="E157" s="9" t="inlineStr">
        <x:is>
          <x:t xml:space="preserve">Oakhurst Independents Network (BG)</x:t>
        </x:is>
      </x:c>
      <x:c r="F157" s="9" t="inlineStr">
        <x:is>
          <x:t xml:space="preserve">Core</x:t>
        </x:is>
      </x:c>
      <x:c r="G157" s="9" t="inlineStr">
        <x:is>
          <x:t xml:space="preserve">Modern Oral</x:t>
        </x:is>
      </x:c>
      <x:c r="H157" s="10" t="n">
        <x:v>272.5</x:v>
      </x:c>
      <x:c r="I157" s="10" t="n">
        <x:v>308.2</x:v>
      </x:c>
      <x:c r="J157" s="11" t="n">
        <x:v>0.131</x:v>
      </x:c>
      <x:c r="K157" s="10" t="n">
        <x:v>136.6</x:v>
      </x:c>
      <x:c r="L157" s="10" t="n">
        <x:v>157.3</x:v>
      </x:c>
      <x:c r="M157" s="11" t="n">
        <x:v>0.1515</x:v>
      </x:c>
      <x:c r="N157" s="10" t="n">
        <x:v>84.8</x:v>
      </x:c>
      <x:c r="O157" s="16" t="n">
        <x:v>0</x:v>
      </x:c>
      <x:c r="P157" s="9" t="inlineStr">
        <x:is>
          <x:t xml:space="preserve">None</x:t>
        </x:is>
      </x:c>
      <x:c r="Q157" s="9" t="inlineStr">
        <x:is>
          <x:t xml:space="preserve">None</x:t>
        </x:is>
      </x:c>
      <x:c r="R157" s="9" t="inlineStr">
        <x:is>
          <x:t xml:space="preserve">None</x:t>
        </x:is>
      </x:c>
      <x:c r="S157" s="9" t="n"/>
      <x:c r="T157" s="17" t="n"/>
      <x:c r="U157" s="9" t="inlineStr">
        <x:is>
          <x:t xml:space="preserve">No action</x:t>
        </x:is>
      </x:c>
      <x:c r="V157" s="9" t="inlineStr">
        <x:is>
          <x:t xml:space="preserve">None</x:t>
        </x:is>
      </x:c>
      <x:c r="W157" s="9" t="inlineStr">
        <x:is>
          <x:t xml:space="preserve">Synthetic - CIE training only</x:t>
        </x:is>
      </x:c>
    </x:row>
    <x:row r="158">
      <x:c r="A158" s="9" t="inlineStr">
        <x:is>
          <x:t xml:space="preserve">TBR-0153</x:t>
        </x:is>
      </x:c>
      <x:c r="B158" s="9" t="inlineStr">
        <x:is>
          <x:t xml:space="preserve">Q3 2026</x:t>
        </x:is>
      </x:c>
      <x:c r="C158" s="9" t="inlineStr">
        <x:is>
          <x:t xml:space="preserve">Bulgaria</x:t>
        </x:is>
      </x:c>
      <x:c r="D158" s="9" t="inlineStr">
        <x:is>
          <x:t xml:space="preserve">Traditional Trade</x:t>
        </x:is>
      </x:c>
      <x:c r="E158" s="9" t="inlineStr">
        <x:is>
          <x:t xml:space="preserve">Pinecrest Independents Network (BG)</x:t>
        </x:is>
      </x:c>
      <x:c r="F158" s="9" t="inlineStr">
        <x:is>
          <x:t xml:space="preserve">Core</x:t>
        </x:is>
      </x:c>
      <x:c r="G158" s="9" t="inlineStr">
        <x:is>
          <x:t xml:space="preserve">Combustibles</x:t>
        </x:is>
      </x:c>
      <x:c r="H158" s="10" t="n">
        <x:v>491.7</x:v>
      </x:c>
      <x:c r="I158" s="10" t="n">
        <x:v>467.6</x:v>
      </x:c>
      <x:c r="J158" s="11" t="n">
        <x:v>-0.049</x:v>
      </x:c>
      <x:c r="K158" s="10" t="n">
        <x:v>197.7</x:v>
      </x:c>
      <x:c r="L158" s="10" t="n">
        <x:v>187.7</x:v>
      </x:c>
      <x:c r="M158" s="11" t="n">
        <x:v>-0.0506</x:v>
      </x:c>
      <x:c r="N158" s="10" t="n">
        <x:v>60.6</x:v>
      </x:c>
      <x:c r="O158" s="16" t="n">
        <x:v>0.3</x:v>
      </x:c>
      <x:c r="P158" s="9" t="inlineStr">
        <x:is>
          <x:t xml:space="preserve">None</x:t>
        </x:is>
      </x:c>
      <x:c r="Q158" s="9" t="inlineStr">
        <x:is>
          <x:t xml:space="preserve">Display space lost</x:t>
        </x:is>
      </x:c>
      <x:c r="R158" s="9" t="inlineStr">
        <x:is>
          <x:t xml:space="preserve">Agree display recovery plan with account (no terms committed)</x:t>
        </x:is>
      </x:c>
      <x:c r="S158" s="9" t="inlineStr">
        <x:is>
          <x:t xml:space="preserve">Area Sales Manager</x:t>
        </x:is>
      </x:c>
      <x:c r="T158" s="17" t="n">
        <x:v>46331</x:v>
      </x:c>
      <x:c r="U158" s="9" t="inlineStr">
        <x:is>
          <x:t xml:space="preserve">On track</x:t>
        </x:is>
      </x:c>
      <x:c r="V158" s="9" t="inlineStr">
        <x:is>
          <x:t xml:space="preserve">Customer terms</x:t>
        </x:is>
      </x:c>
      <x:c r="W158" s="9" t="inlineStr">
        <x:is>
          <x:t xml:space="preserve">Synthetic - CIE training only</x:t>
        </x:is>
      </x:c>
    </x:row>
    <x:row r="159">
      <x:c r="A159" s="9" t="inlineStr">
        <x:is>
          <x:t xml:space="preserve">TBR-0154</x:t>
        </x:is>
      </x:c>
      <x:c r="B159" s="9" t="inlineStr">
        <x:is>
          <x:t xml:space="preserve">Q3 2026</x:t>
        </x:is>
      </x:c>
      <x:c r="C159" s="9" t="inlineStr">
        <x:is>
          <x:t xml:space="preserve">Bulgaria</x:t>
        </x:is>
      </x:c>
      <x:c r="D159" s="9" t="inlineStr">
        <x:is>
          <x:t xml:space="preserve">Traditional Trade</x:t>
        </x:is>
      </x:c>
      <x:c r="E159" s="9" t="inlineStr">
        <x:is>
          <x:t xml:space="preserve">Oakhurst Independents Network (BG)</x:t>
        </x:is>
      </x:c>
      <x:c r="F159" s="9" t="inlineStr">
        <x:is>
          <x:t xml:space="preserve">Core</x:t>
        </x:is>
      </x:c>
      <x:c r="G159" s="9" t="inlineStr">
        <x:is>
          <x:t xml:space="preserve">Combustibles</x:t>
        </x:is>
      </x:c>
      <x:c r="H159" s="10" t="n">
        <x:v>416.6</x:v>
      </x:c>
      <x:c r="I159" s="10" t="n">
        <x:v>388.7</x:v>
      </x:c>
      <x:c r="J159" s="11" t="n">
        <x:v>-0.067</x:v>
      </x:c>
      <x:c r="K159" s="10" t="n">
        <x:v>172.7</x:v>
      </x:c>
      <x:c r="L159" s="10" t="n">
        <x:v>160.8</x:v>
      </x:c>
      <x:c r="M159" s="11" t="n">
        <x:v>-0.0689</x:v>
      </x:c>
      <x:c r="N159" s="10" t="n">
        <x:v>76.2</x:v>
      </x:c>
      <x:c r="O159" s="16" t="n">
        <x:v>-0.4</x:v>
      </x:c>
      <x:c r="P159" s="9" t="inlineStr">
        <x:is>
          <x:t xml:space="preserve">None</x:t>
        </x:is>
      </x:c>
      <x:c r="Q159" s="9" t="inlineStr">
        <x:is>
          <x:t xml:space="preserve">None</x:t>
        </x:is>
      </x:c>
      <x:c r="R159" s="9" t="inlineStr">
        <x:is>
          <x:t xml:space="preserve">Update account plan for Q4</x:t>
        </x:is>
      </x:c>
      <x:c r="S159" s="9" t="inlineStr">
        <x:is>
          <x:t xml:space="preserve">Area Sales Manager</x:t>
        </x:is>
      </x:c>
      <x:c r="T159" s="17" t="n">
        <x:v>46321</x:v>
      </x:c>
      <x:c r="U159" s="9" t="inlineStr">
        <x:is>
          <x:t xml:space="preserve">Closed</x:t>
        </x:is>
      </x:c>
      <x:c r="V159" s="9" t="inlineStr">
        <x:is>
          <x:t xml:space="preserve">None</x:t>
        </x:is>
      </x:c>
      <x:c r="W159" s="9" t="inlineStr">
        <x:is>
          <x:t xml:space="preserve">Synthetic - CIE training only</x:t>
        </x:is>
      </x:c>
    </x:row>
    <x:row r="160">
      <x:c r="A160" s="9" t="inlineStr">
        <x:is>
          <x:t xml:space="preserve">TBR-0155</x:t>
        </x:is>
      </x:c>
      <x:c r="B160" s="9" t="inlineStr">
        <x:is>
          <x:t xml:space="preserve">Q3 2026</x:t>
        </x:is>
      </x:c>
      <x:c r="C160" s="9" t="inlineStr">
        <x:is>
          <x:t xml:space="preserve">Bulgaria</x:t>
        </x:is>
      </x:c>
      <x:c r="D160" s="9" t="inlineStr">
        <x:is>
          <x:t xml:space="preserve">Convenience &amp; Fuel</x:t>
        </x:is>
      </x:c>
      <x:c r="E160" s="9" t="inlineStr">
        <x:is>
          <x:t xml:space="preserve">Quayside Fuel &amp; Go (BG)</x:t>
        </x:is>
      </x:c>
      <x:c r="F160" s="9" t="inlineStr">
        <x:is>
          <x:t xml:space="preserve">Strategic</x:t>
        </x:is>
      </x:c>
      <x:c r="G160" s="9" t="inlineStr">
        <x:is>
          <x:t xml:space="preserve">Vapour</x:t>
        </x:is>
      </x:c>
      <x:c r="H160" s="10" t="n">
        <x:v>314.5</x:v>
      </x:c>
      <x:c r="I160" s="10" t="n">
        <x:v>319.9</x:v>
      </x:c>
      <x:c r="J160" s="11" t="n">
        <x:v>0.0172</x:v>
      </x:c>
      <x:c r="K160" s="10" t="n">
        <x:v>177</x:v>
      </x:c>
      <x:c r="L160" s="10" t="n">
        <x:v>178.9</x:v>
      </x:c>
      <x:c r="M160" s="11" t="n">
        <x:v>0.0107</x:v>
      </x:c>
      <x:c r="N160" s="10" t="n">
        <x:v>84.2</x:v>
      </x:c>
      <x:c r="O160" s="16" t="n">
        <x:v>-0.3</x:v>
      </x:c>
      <x:c r="P160" s="9" t="inlineStr">
        <x:is>
          <x:t xml:space="preserve">None</x:t>
        </x:is>
      </x:c>
      <x:c r="Q160" s="9" t="inlineStr">
        <x:is>
          <x:t xml:space="preserve">Competitor new launch</x:t>
        </x:is>
      </x:c>
      <x:c r="R160" s="9" t="inlineStr">
        <x:is>
          <x:t xml:space="preserve">Assess shelf and range impact of competitor launch</x:t>
        </x:is>
      </x:c>
      <x:c r="S160" s="9" t="inlineStr">
        <x:is>
          <x:t xml:space="preserve">Channel Manager - Convenience</x:t>
        </x:is>
      </x:c>
      <x:c r="T160" s="17" t="n">
        <x:v>46330</x:v>
      </x:c>
      <x:c r="U160" s="9" t="inlineStr">
        <x:is>
          <x:t xml:space="preserve">On track</x:t>
        </x:is>
      </x:c>
      <x:c r="V160" s="9" t="inlineStr">
        <x:is>
          <x:t xml:space="preserve">Portfolio</x:t>
        </x:is>
      </x:c>
      <x:c r="W160" s="9" t="inlineStr">
        <x:is>
          <x:t xml:space="preserve">Synthetic - CIE training only</x:t>
        </x:is>
      </x:c>
    </x:row>
    <x:row r="161">
      <x:c r="A161" s="9" t="inlineStr">
        <x:is>
          <x:t xml:space="preserve">TBR-0156</x:t>
        </x:is>
      </x:c>
      <x:c r="B161" s="9" t="inlineStr">
        <x:is>
          <x:t xml:space="preserve">Q3 2026</x:t>
        </x:is>
      </x:c>
      <x:c r="C161" s="9" t="inlineStr">
        <x:is>
          <x:t xml:space="preserve">Bulgaria</x:t>
        </x:is>
      </x:c>
      <x:c r="D161" s="9" t="inlineStr">
        <x:is>
          <x:t xml:space="preserve">Convenience &amp; Fuel</x:t>
        </x:is>
      </x:c>
      <x:c r="E161" s="9" t="inlineStr">
        <x:is>
          <x:t xml:space="preserve">Rivermill Fuel &amp; Go (BG)</x:t>
        </x:is>
      </x:c>
      <x:c r="F161" s="9" t="inlineStr">
        <x:is>
          <x:t xml:space="preserve">Developing</x:t>
        </x:is>
      </x:c>
      <x:c r="G161" s="9" t="inlineStr">
        <x:is>
          <x:t xml:space="preserve">Heated Products</x:t>
        </x:is>
      </x:c>
      <x:c r="H161" s="10" t="n">
        <x:v>348.5</x:v>
      </x:c>
      <x:c r="I161" s="10" t="n">
        <x:v>349.3</x:v>
      </x:c>
      <x:c r="J161" s="11" t="n">
        <x:v>0.0023</x:v>
      </x:c>
      <x:c r="K161" s="10" t="n">
        <x:v>201.7</x:v>
      </x:c>
      <x:c r="L161" s="10" t="n">
        <x:v>202.1</x:v>
      </x:c>
      <x:c r="M161" s="11" t="n">
        <x:v>0.002</x:v>
      </x:c>
      <x:c r="N161" s="10" t="n">
        <x:v>58.9</x:v>
      </x:c>
      <x:c r="O161" s="16" t="n">
        <x:v>0.1</x:v>
      </x:c>
      <x:c r="P161" s="9" t="inlineStr">
        <x:is>
          <x:t xml:space="preserve">None</x:t>
        </x:is>
      </x:c>
      <x:c r="Q161" s="9" t="inlineStr">
        <x:is>
          <x:t xml:space="preserve">None</x:t>
        </x:is>
      </x:c>
      <x:c r="R161" s="9" t="inlineStr">
        <x:is>
          <x:t xml:space="preserve">None</x:t>
        </x:is>
      </x:c>
      <x:c r="S161" s="9" t="n"/>
      <x:c r="T161" s="17" t="n"/>
      <x:c r="U161" s="9" t="inlineStr">
        <x:is>
          <x:t xml:space="preserve">No action</x:t>
        </x:is>
      </x:c>
      <x:c r="V161" s="9" t="inlineStr">
        <x:is>
          <x:t xml:space="preserve">None</x:t>
        </x:is>
      </x:c>
      <x:c r="W161" s="9" t="inlineStr">
        <x:is>
          <x:t xml:space="preserve">Synthetic - CIE training only</x:t>
        </x:is>
      </x:c>
    </x:row>
    <x:row r="162">
      <x:c r="A162" s="9" t="inlineStr">
        <x:is>
          <x:t xml:space="preserve">TBR-0157</x:t>
        </x:is>
      </x:c>
      <x:c r="B162" s="9" t="inlineStr">
        <x:is>
          <x:t xml:space="preserve">Q3 2026</x:t>
        </x:is>
      </x:c>
      <x:c r="C162" s="9" t="inlineStr">
        <x:is>
          <x:t xml:space="preserve">Bulgaria</x:t>
        </x:is>
      </x:c>
      <x:c r="D162" s="9" t="inlineStr">
        <x:is>
          <x:t xml:space="preserve">Convenience &amp; Fuel</x:t>
        </x:is>
      </x:c>
      <x:c r="E162" s="9" t="inlineStr">
        <x:is>
          <x:t xml:space="preserve">Quayside Fuel &amp; Go (BG)</x:t>
        </x:is>
      </x:c>
      <x:c r="F162" s="9" t="inlineStr">
        <x:is>
          <x:t xml:space="preserve">Strategic</x:t>
        </x:is>
      </x:c>
      <x:c r="G162" s="9" t="inlineStr">
        <x:is>
          <x:t xml:space="preserve">Modern Oral</x:t>
        </x:is>
      </x:c>
      <x:c r="H162" s="10" t="n">
        <x:v>292.5</x:v>
      </x:c>
      <x:c r="I162" s="10" t="n">
        <x:v>322.7</x:v>
      </x:c>
      <x:c r="J162" s="11" t="n">
        <x:v>0.1032</x:v>
      </x:c>
      <x:c r="K162" s="10" t="n">
        <x:v>150.5</x:v>
      </x:c>
      <x:c r="L162" s="10" t="n">
        <x:v>166.2</x:v>
      </x:c>
      <x:c r="M162" s="11" t="n">
        <x:v>0.1043</x:v>
      </x:c>
      <x:c r="N162" s="10" t="n">
        <x:v>65</x:v>
      </x:c>
      <x:c r="O162" s="16" t="n">
        <x:v>-0.1</x:v>
      </x:c>
      <x:c r="P162" s="9" t="inlineStr">
        <x:is>
          <x:t xml:space="preserve">None</x:t>
        </x:is>
      </x:c>
      <x:c r="Q162" s="9" t="inlineStr">
        <x:is>
          <x:t xml:space="preserve">Competitor new launch</x:t>
        </x:is>
      </x:c>
      <x:c r="R162" s="9" t="inlineStr">
        <x:is>
          <x:t xml:space="preserve">Assess shelf and range impact of competitor launch</x:t>
        </x:is>
      </x:c>
      <x:c r="S162" s="9" t="inlineStr">
        <x:is>
          <x:t xml:space="preserve">Channel Manager - Convenience</x:t>
        </x:is>
      </x:c>
      <x:c r="T162" s="17" t="n">
        <x:v>46324</x:v>
      </x:c>
      <x:c r="U162" s="9" t="inlineStr">
        <x:is>
          <x:t xml:space="preserve">Not started</x:t>
        </x:is>
      </x:c>
      <x:c r="V162" s="9" t="inlineStr">
        <x:is>
          <x:t xml:space="preserve">Portfolio</x:t>
        </x:is>
      </x:c>
      <x:c r="W162" s="9" t="inlineStr">
        <x:is>
          <x:t xml:space="preserve">Synthetic - CIE training only</x:t>
        </x:is>
      </x:c>
    </x:row>
    <x:row r="163">
      <x:c r="A163" s="9" t="inlineStr">
        <x:is>
          <x:t xml:space="preserve">TBR-0158</x:t>
        </x:is>
      </x:c>
      <x:c r="B163" s="9" t="inlineStr">
        <x:is>
          <x:t xml:space="preserve">Q3 2026</x:t>
        </x:is>
      </x:c>
      <x:c r="C163" s="9" t="inlineStr">
        <x:is>
          <x:t xml:space="preserve">Bulgaria</x:t>
        </x:is>
      </x:c>
      <x:c r="D163" s="9" t="inlineStr">
        <x:is>
          <x:t xml:space="preserve">Convenience &amp; Fuel</x:t>
        </x:is>
      </x:c>
      <x:c r="E163" s="9" t="inlineStr">
        <x:is>
          <x:t xml:space="preserve">Rivermill Fuel &amp; Go (BG)</x:t>
        </x:is>
      </x:c>
      <x:c r="F163" s="9" t="inlineStr">
        <x:is>
          <x:t xml:space="preserve">Developing</x:t>
        </x:is>
      </x:c>
      <x:c r="G163" s="9" t="inlineStr">
        <x:is>
          <x:t xml:space="preserve">Combustibles</x:t>
        </x:is>
      </x:c>
      <x:c r="H163" s="10" t="n">
        <x:v>399.3</x:v>
      </x:c>
      <x:c r="I163" s="10" t="n">
        <x:v>411.9</x:v>
      </x:c>
      <x:c r="J163" s="11" t="n">
        <x:v>0.0316</x:v>
      </x:c>
      <x:c r="K163" s="10" t="n">
        <x:v>170.9</x:v>
      </x:c>
      <x:c r="L163" s="10" t="n">
        <x:v>161</x:v>
      </x:c>
      <x:c r="M163" s="11" t="n">
        <x:v>-0.0579</x:v>
      </x:c>
      <x:c r="N163" s="10" t="n">
        <x:v>69.8</x:v>
      </x:c>
      <x:c r="O163" s="16" t="n">
        <x:v>0.7</x:v>
      </x:c>
      <x:c r="P163" s="9" t="inlineStr">
        <x:is>
          <x:t xml:space="preserve">Intensive</x:t>
        </x:is>
      </x:c>
      <x:c r="Q163" s="9" t="inlineStr">
        <x:is>
          <x:t xml:space="preserve">None</x:t>
        </x:is>
      </x:c>
      <x:c r="R163" s="9" t="inlineStr">
        <x:is>
          <x:t xml:space="preserve">None</x:t>
        </x:is>
      </x:c>
      <x:c r="S163" s="9" t="n"/>
      <x:c r="T163" s="17" t="n"/>
      <x:c r="U163" s="9" t="inlineStr">
        <x:is>
          <x:t xml:space="preserve">No action</x:t>
        </x:is>
      </x:c>
      <x:c r="V163" s="9" t="inlineStr">
        <x:is>
          <x:t xml:space="preserve">None</x:t>
        </x:is>
      </x:c>
      <x:c r="W163" s="9" t="inlineStr">
        <x:is>
          <x:t xml:space="preserve">Synthetic - CIE training only</x:t>
        </x:is>
      </x:c>
    </x:row>
    <x:row r="164">
      <x:c r="A164" s="9" t="inlineStr">
        <x:is>
          <x:t xml:space="preserve">TBR-0159</x:t>
        </x:is>
      </x:c>
      <x:c r="B164" s="9" t="inlineStr">
        <x:is>
          <x:t xml:space="preserve">Q3 2026</x:t>
        </x:is>
      </x:c>
      <x:c r="C164" s="9" t="inlineStr">
        <x:is>
          <x:t xml:space="preserve">Bulgaria</x:t>
        </x:is>
      </x:c>
      <x:c r="D164" s="9" t="inlineStr">
        <x:is>
          <x:t xml:space="preserve">Convenience &amp; Fuel</x:t>
        </x:is>
      </x:c>
      <x:c r="E164" s="9" t="inlineStr">
        <x:is>
          <x:t xml:space="preserve">Quayside Fuel &amp; Go (BG)</x:t>
        </x:is>
      </x:c>
      <x:c r="F164" s="9" t="inlineStr">
        <x:is>
          <x:t xml:space="preserve">Core</x:t>
        </x:is>
      </x:c>
      <x:c r="G164" s="9" t="inlineStr">
        <x:is>
          <x:t xml:space="preserve">Heated Products</x:t>
        </x:is>
      </x:c>
      <x:c r="H164" s="10" t="n">
        <x:v>201.4</x:v>
      </x:c>
      <x:c r="I164" s="10" t="n">
        <x:v>210.5</x:v>
      </x:c>
      <x:c r="J164" s="11" t="n">
        <x:v>0.0452</x:v>
      </x:c>
      <x:c r="K164" s="10" t="n">
        <x:v>125.6</x:v>
      </x:c>
      <x:c r="L164" s="10" t="n">
        <x:v>127.6</x:v>
      </x:c>
      <x:c r="M164" s="11" t="n">
        <x:v>0.0159</x:v>
      </x:c>
      <x:c r="N164" s="10" t="n">
        <x:v>77.09999999999999</x:v>
      </x:c>
      <x:c r="O164" s="16" t="n">
        <x:v>0.7</x:v>
      </x:c>
      <x:c r="P164" s="9" t="inlineStr">
        <x:is>
          <x:t xml:space="preserve">Standard</x:t>
        </x:is>
      </x:c>
      <x:c r="Q164" s="9" t="inlineStr">
        <x:is>
          <x:t xml:space="preserve">None</x:t>
        </x:is>
      </x:c>
      <x:c r="R164" s="9" t="inlineStr">
        <x:is>
          <x:t xml:space="preserve">None</x:t>
        </x:is>
      </x:c>
      <x:c r="S164" s="9" t="n"/>
      <x:c r="T164" s="17" t="n"/>
      <x:c r="U164" s="9" t="inlineStr">
        <x:is>
          <x:t xml:space="preserve">No action</x:t>
        </x:is>
      </x:c>
      <x:c r="V164" s="9" t="inlineStr">
        <x:is>
          <x:t xml:space="preserve">None</x:t>
        </x:is>
      </x:c>
      <x:c r="W164" s="9" t="inlineStr">
        <x:is>
          <x:t xml:space="preserve">Synthetic - CIE training only</x:t>
        </x:is>
      </x:c>
    </x:row>
    <x:row r="165">
      <x:c r="A165" s="9" t="inlineStr">
        <x:is>
          <x:t xml:space="preserve">TBR-0160</x:t>
        </x:is>
      </x:c>
      <x:c r="B165" s="9" t="inlineStr">
        <x:is>
          <x:t xml:space="preserve">Q3 2026</x:t>
        </x:is>
      </x:c>
      <x:c r="C165" s="9" t="inlineStr">
        <x:is>
          <x:t xml:space="preserve">Bulgaria</x:t>
        </x:is>
      </x:c>
      <x:c r="D165" s="9" t="inlineStr">
        <x:is>
          <x:t xml:space="preserve">Convenience &amp; Fuel</x:t>
        </x:is>
      </x:c>
      <x:c r="E165" s="9" t="inlineStr">
        <x:is>
          <x:t xml:space="preserve">Rivermill Fuel &amp; Go (BG)</x:t>
        </x:is>
      </x:c>
      <x:c r="F165" s="9" t="inlineStr">
        <x:is>
          <x:t xml:space="preserve">Developing</x:t>
        </x:is>
      </x:c>
      <x:c r="G165" s="9" t="inlineStr">
        <x:is>
          <x:t xml:space="preserve">Modern Oral</x:t>
        </x:is>
      </x:c>
      <x:c r="H165" s="10" t="n">
        <x:v>287.9</x:v>
      </x:c>
      <x:c r="I165" s="10" t="n">
        <x:v>329.8</x:v>
      </x:c>
      <x:c r="J165" s="11" t="n">
        <x:v>0.1455</x:v>
      </x:c>
      <x:c r="K165" s="10" t="n">
        <x:v>141.2</x:v>
      </x:c>
      <x:c r="L165" s="10" t="n">
        <x:v>163.4</x:v>
      </x:c>
      <x:c r="M165" s="11" t="n">
        <x:v>0.1572</x:v>
      </x:c>
      <x:c r="N165" s="10" t="n">
        <x:v>80.2</x:v>
      </x:c>
      <x:c r="O165" s="16" t="n">
        <x:v>0.8</x:v>
      </x:c>
      <x:c r="P165" s="9" t="inlineStr">
        <x:is>
          <x:t xml:space="preserve">Standard</x:t>
        </x:is>
      </x:c>
      <x:c r="Q165" s="9" t="inlineStr">
        <x:is>
          <x:t xml:space="preserve">Competitor new launch</x:t>
        </x:is>
      </x:c>
      <x:c r="R165" s="9" t="inlineStr">
        <x:is>
          <x:t xml:space="preserve">Assess shelf and range impact of competitor launch</x:t>
        </x:is>
      </x:c>
      <x:c r="S165" s="9" t="inlineStr">
        <x:is>
          <x:t xml:space="preserve">Channel Manager - Convenience</x:t>
        </x:is>
      </x:c>
      <x:c r="T165" s="17" t="n">
        <x:v>46321</x:v>
      </x:c>
      <x:c r="U165" s="9" t="inlineStr">
        <x:is>
          <x:t xml:space="preserve">On track</x:t>
        </x:is>
      </x:c>
      <x:c r="V165" s="9" t="inlineStr">
        <x:is>
          <x:t xml:space="preserve">Portfolio</x:t>
        </x:is>
      </x:c>
      <x:c r="W165" s="9" t="inlineStr">
        <x:is>
          <x:t xml:space="preserve">Synthetic - CIE training only</x:t>
        </x:is>
      </x:c>
    </x:row>
    <x:row r="166">
      <x:c r="A166" s="9" t="inlineStr">
        <x:is>
          <x:t xml:space="preserve">TBR-0161</x:t>
        </x:is>
      </x:c>
      <x:c r="B166" s="9" t="inlineStr">
        <x:is>
          <x:t xml:space="preserve">Q3 2026</x:t>
        </x:is>
      </x:c>
      <x:c r="C166" s="9" t="inlineStr">
        <x:is>
          <x:t xml:space="preserve">Bulgaria</x:t>
        </x:is>
      </x:c>
      <x:c r="D166" s="9" t="inlineStr">
        <x:is>
          <x:t xml:space="preserve">Convenience &amp; Fuel</x:t>
        </x:is>
      </x:c>
      <x:c r="E166" s="9" t="inlineStr">
        <x:is>
          <x:t xml:space="preserve">Quayside Fuel &amp; Go (BG)</x:t>
        </x:is>
      </x:c>
      <x:c r="F166" s="9" t="inlineStr">
        <x:is>
          <x:t xml:space="preserve">Strategic</x:t>
        </x:is>
      </x:c>
      <x:c r="G166" s="9" t="inlineStr">
        <x:is>
          <x:t xml:space="preserve">Combustibles</x:t>
        </x:is>
      </x:c>
      <x:c r="H166" s="10" t="n">
        <x:v>384.8</x:v>
      </x:c>
      <x:c r="I166" s="10" t="n">
        <x:v>377.4</x:v>
      </x:c>
      <x:c r="J166" s="11" t="n">
        <x:v>-0.0192</x:v>
      </x:c>
      <x:c r="K166" s="10" t="n">
        <x:v>160.2</x:v>
      </x:c>
      <x:c r="L166" s="10" t="n">
        <x:v>159.4</x:v>
      </x:c>
      <x:c r="M166" s="11" t="n">
        <x:v>-0.005</x:v>
      </x:c>
      <x:c r="N166" s="10" t="n">
        <x:v>62.8</x:v>
      </x:c>
      <x:c r="O166" s="16" t="n">
        <x:v>0.3</x:v>
      </x:c>
      <x:c r="P166" s="9" t="inlineStr">
        <x:is>
          <x:t xml:space="preserve">Standard</x:t>
        </x:is>
      </x:c>
      <x:c r="Q166" s="9" t="inlineStr">
        <x:is>
          <x:t xml:space="preserve">None</x:t>
        </x:is>
      </x:c>
      <x:c r="R166" s="9" t="inlineStr">
        <x:is>
          <x:t xml:space="preserve">None</x:t>
        </x:is>
      </x:c>
      <x:c r="S166" s="9" t="n"/>
      <x:c r="T166" s="17" t="n"/>
      <x:c r="U166" s="9" t="inlineStr">
        <x:is>
          <x:t xml:space="preserve">No action</x:t>
        </x:is>
      </x:c>
      <x:c r="V166" s="9" t="inlineStr">
        <x:is>
          <x:t xml:space="preserve">None</x:t>
        </x:is>
      </x:c>
      <x:c r="W166" s="9" t="inlineStr">
        <x:is>
          <x:t xml:space="preserve">Synthetic - CIE training only</x:t>
        </x:is>
      </x:c>
    </x:row>
    <x:row r="167">
      <x:c r="A167" s="9" t="inlineStr">
        <x:is>
          <x:t xml:space="preserve">TBR-0162</x:t>
        </x:is>
      </x:c>
      <x:c r="B167" s="9" t="inlineStr">
        <x:is>
          <x:t xml:space="preserve">Q3 2026</x:t>
        </x:is>
      </x:c>
      <x:c r="C167" s="9" t="inlineStr">
        <x:is>
          <x:t xml:space="preserve">Bulgaria</x:t>
        </x:is>
      </x:c>
      <x:c r="D167" s="9" t="inlineStr">
        <x:is>
          <x:t xml:space="preserve">Wholesale</x:t>
        </x:is>
      </x:c>
      <x:c r="E167" s="9" t="inlineStr">
        <x:is>
          <x:t xml:space="preserve">Sunfield Wholesale (BG)</x:t>
        </x:is>
      </x:c>
      <x:c r="F167" s="9" t="inlineStr">
        <x:is>
          <x:t xml:space="preserve">Developing</x:t>
        </x:is>
      </x:c>
      <x:c r="G167" s="9" t="inlineStr">
        <x:is>
          <x:t xml:space="preserve">Vapour</x:t>
        </x:is>
      </x:c>
      <x:c r="H167" s="10" t="n">
        <x:v>624.6</x:v>
      </x:c>
      <x:c r="I167" s="10" t="n">
        <x:v>663.6</x:v>
      </x:c>
      <x:c r="J167" s="11" t="n">
        <x:v>0.0624</x:v>
      </x:c>
      <x:c r="K167" s="10" t="n">
        <x:v>330.8</x:v>
      </x:c>
      <x:c r="L167" s="10" t="n">
        <x:v>325.4</x:v>
      </x:c>
      <x:c r="M167" s="11" t="n">
        <x:v>-0.0163</x:v>
      </x:c>
      <x:c r="N167" s="10" t="n">
        <x:v>63.3</x:v>
      </x:c>
      <x:c r="O167" s="16" t="n">
        <x:v>0.2</x:v>
      </x:c>
      <x:c r="P167" s="9" t="inlineStr">
        <x:is>
          <x:t xml:space="preserve">Intensive</x:t>
        </x:is>
      </x:c>
      <x:c r="Q167" s="9" t="inlineStr">
        <x:is>
          <x:t xml:space="preserve">None</x:t>
        </x:is>
      </x:c>
      <x:c r="R167" s="9" t="inlineStr">
        <x:is>
          <x:t xml:space="preserve">None</x:t>
        </x:is>
      </x:c>
      <x:c r="S167" s="9" t="n"/>
      <x:c r="T167" s="17" t="n"/>
      <x:c r="U167" s="9" t="inlineStr">
        <x:is>
          <x:t xml:space="preserve">No action</x:t>
        </x:is>
      </x:c>
      <x:c r="V167" s="9" t="inlineStr">
        <x:is>
          <x:t xml:space="preserve">None</x:t>
        </x:is>
      </x:c>
      <x:c r="W167" s="9" t="inlineStr">
        <x:is>
          <x:t xml:space="preserve">Synthetic - CIE training only</x:t>
        </x:is>
      </x:c>
    </x:row>
    <x:row r="168">
      <x:c r="A168" s="9" t="inlineStr">
        <x:is>
          <x:t xml:space="preserve">TBR-0163</x:t>
        </x:is>
      </x:c>
      <x:c r="B168" s="9" t="inlineStr">
        <x:is>
          <x:t xml:space="preserve">Q3 2026</x:t>
        </x:is>
      </x:c>
      <x:c r="C168" s="9" t="inlineStr">
        <x:is>
          <x:t xml:space="preserve">Bulgaria</x:t>
        </x:is>
      </x:c>
      <x:c r="D168" s="9" t="inlineStr">
        <x:is>
          <x:t xml:space="preserve">Wholesale</x:t>
        </x:is>
      </x:c>
      <x:c r="E168" s="9" t="inlineStr">
        <x:is>
          <x:t xml:space="preserve">Tidewater Wholesale (BG)</x:t>
        </x:is>
      </x:c>
      <x:c r="F168" s="9" t="inlineStr">
        <x:is>
          <x:t xml:space="preserve">Strategic</x:t>
        </x:is>
      </x:c>
      <x:c r="G168" s="9" t="inlineStr">
        <x:is>
          <x:t xml:space="preserve">Heated Products</x:t>
        </x:is>
      </x:c>
      <x:c r="H168" s="10" t="n">
        <x:v>422.6</x:v>
      </x:c>
      <x:c r="I168" s="10" t="n">
        <x:v>428</x:v>
      </x:c>
      <x:c r="J168" s="11" t="n">
        <x:v>0.0128</x:v>
      </x:c>
      <x:c r="K168" s="10" t="n">
        <x:v>257.4</x:v>
      </x:c>
      <x:c r="L168" s="10" t="n">
        <x:v>259.1</x:v>
      </x:c>
      <x:c r="M168" s="11" t="n">
        <x:v>0.0066</x:v>
      </x:c>
      <x:c r="N168" s="10" t="n">
        <x:v>67.3</x:v>
      </x:c>
      <x:c r="O168" s="16" t="n">
        <x:v>0.2</x:v>
      </x:c>
      <x:c r="P168" s="9" t="inlineStr">
        <x:is>
          <x:t xml:space="preserve">None</x:t>
        </x:is>
      </x:c>
      <x:c r="Q168" s="9" t="inlineStr">
        <x:is>
          <x:t xml:space="preserve">None</x:t>
        </x:is>
      </x:c>
      <x:c r="R168" s="9" t="inlineStr">
        <x:is>
          <x:t xml:space="preserve">None</x:t>
        </x:is>
      </x:c>
      <x:c r="S168" s="9" t="n"/>
      <x:c r="T168" s="17" t="n"/>
      <x:c r="U168" s="9" t="inlineStr">
        <x:is>
          <x:t xml:space="preserve">No action</x:t>
        </x:is>
      </x:c>
      <x:c r="V168" s="9" t="inlineStr">
        <x:is>
          <x:t xml:space="preserve">None</x:t>
        </x:is>
      </x:c>
      <x:c r="W168" s="9" t="inlineStr">
        <x:is>
          <x:t xml:space="preserve">Synthetic - CIE training only</x:t>
        </x:is>
      </x:c>
    </x:row>
    <x:row r="169">
      <x:c r="A169" s="9" t="inlineStr">
        <x:is>
          <x:t xml:space="preserve">TBR-0164</x:t>
        </x:is>
      </x:c>
      <x:c r="B169" s="9" t="inlineStr">
        <x:is>
          <x:t xml:space="preserve">Q3 2026</x:t>
        </x:is>
      </x:c>
      <x:c r="C169" s="9" t="inlineStr">
        <x:is>
          <x:t xml:space="preserve">Bulgaria</x:t>
        </x:is>
      </x:c>
      <x:c r="D169" s="9" t="inlineStr">
        <x:is>
          <x:t xml:space="preserve">Wholesale</x:t>
        </x:is>
      </x:c>
      <x:c r="E169" s="9" t="inlineStr">
        <x:is>
          <x:t xml:space="preserve">Sunfield Wholesale (BG)</x:t>
        </x:is>
      </x:c>
      <x:c r="F169" s="9" t="inlineStr">
        <x:is>
          <x:t xml:space="preserve">Strategic</x:t>
        </x:is>
      </x:c>
      <x:c r="G169" s="9" t="inlineStr">
        <x:is>
          <x:t xml:space="preserve">Modern Oral</x:t>
        </x:is>
      </x:c>
      <x:c r="H169" s="10" t="n">
        <x:v>559</x:v>
      </x:c>
      <x:c r="I169" s="10" t="n">
        <x:v>601.8</x:v>
      </x:c>
      <x:c r="J169" s="11" t="n">
        <x:v>0.0766</x:v>
      </x:c>
      <x:c r="K169" s="10" t="n">
        <x:v>273</x:v>
      </x:c>
      <x:c r="L169" s="10" t="n">
        <x:v>299.6</x:v>
      </x:c>
      <x:c r="M169" s="11" t="n">
        <x:v>0.0974</x:v>
      </x:c>
      <x:c r="N169" s="10" t="n">
        <x:v>84.3</x:v>
      </x:c>
      <x:c r="O169" s="16" t="n">
        <x:v>0.6</x:v>
      </x:c>
      <x:c r="P169" s="9" t="inlineStr">
        <x:is>
          <x:t xml:space="preserve">None</x:t>
        </x:is>
      </x:c>
      <x:c r="Q169" s="9" t="inlineStr">
        <x:is>
          <x:t xml:space="preserve">Competitor promotion</x:t>
        </x:is>
      </x:c>
      <x:c r="R169" s="9" t="inlineStr">
        <x:is>
          <x:t xml:space="preserve">Confirm Q4 visit plan and in-store execution checks</x:t>
        </x:is>
      </x:c>
      <x:c r="S169" s="9" t="inlineStr">
        <x:is>
          <x:t xml:space="preserve">Distributor Development Manager</x:t>
        </x:is>
      </x:c>
      <x:c r="T169" s="17" t="n">
        <x:v>46350</x:v>
      </x:c>
      <x:c r="U169" s="9" t="inlineStr">
        <x:is>
          <x:t xml:space="preserve">On track</x:t>
        </x:is>
      </x:c>
      <x:c r="V169" s="9" t="inlineStr">
        <x:is>
          <x:t xml:space="preserve">None</x:t>
        </x:is>
      </x:c>
      <x:c r="W169" s="9" t="inlineStr">
        <x:is>
          <x:t xml:space="preserve">Synthetic - CIE training only</x:t>
        </x:is>
      </x:c>
    </x:row>
    <x:row r="170">
      <x:c r="A170" s="9" t="inlineStr">
        <x:is>
          <x:t xml:space="preserve">TBR-0165</x:t>
        </x:is>
      </x:c>
      <x:c r="B170" s="9" t="inlineStr">
        <x:is>
          <x:t xml:space="preserve">Q3 2026</x:t>
        </x:is>
      </x:c>
      <x:c r="C170" s="9" t="inlineStr">
        <x:is>
          <x:t xml:space="preserve">Bulgaria</x:t>
        </x:is>
      </x:c>
      <x:c r="D170" s="9" t="inlineStr">
        <x:is>
          <x:t xml:space="preserve">Wholesale</x:t>
        </x:is>
      </x:c>
      <x:c r="E170" s="9" t="inlineStr">
        <x:is>
          <x:t xml:space="preserve">Tidewater Wholesale (BG)</x:t>
        </x:is>
      </x:c>
      <x:c r="F170" s="9" t="inlineStr">
        <x:is>
          <x:t xml:space="preserve">Strategic</x:t>
        </x:is>
      </x:c>
      <x:c r="G170" s="9" t="inlineStr">
        <x:is>
          <x:t xml:space="preserve">Combustibles</x:t>
        </x:is>
      </x:c>
      <x:c r="H170" s="10" t="n">
        <x:v>542.3</x:v>
      </x:c>
      <x:c r="I170" s="10" t="n">
        <x:v>517.2</x:v>
      </x:c>
      <x:c r="J170" s="11" t="n">
        <x:v>-0.0463</x:v>
      </x:c>
      <x:c r="K170" s="10" t="n">
        <x:v>227.3</x:v>
      </x:c>
      <x:c r="L170" s="10" t="n">
        <x:v>216.9</x:v>
      </x:c>
      <x:c r="M170" s="11" t="n">
        <x:v>-0.0458</x:v>
      </x:c>
      <x:c r="N170" s="10" t="n">
        <x:v>77.7</x:v>
      </x:c>
      <x:c r="O170" s="16" t="n">
        <x:v>0.6</x:v>
      </x:c>
      <x:c r="P170" s="9" t="inlineStr">
        <x:is>
          <x:t xml:space="preserve">None</x:t>
        </x:is>
      </x:c>
      <x:c r="Q170" s="9" t="inlineStr">
        <x:is>
          <x:t xml:space="preserve">None</x:t>
        </x:is>
      </x:c>
      <x:c r="R170" s="9" t="inlineStr">
        <x:is>
          <x:t xml:space="preserve">Update account plan for Q4</x:t>
        </x:is>
      </x:c>
      <x:c r="S170" s="9" t="inlineStr">
        <x:is>
          <x:t xml:space="preserve">Distributor Development Manager</x:t>
        </x:is>
      </x:c>
      <x:c r="T170" s="17" t="n">
        <x:v>46342</x:v>
      </x:c>
      <x:c r="U170" s="9" t="inlineStr">
        <x:is>
          <x:t xml:space="preserve">On track</x:t>
        </x:is>
      </x:c>
      <x:c r="V170" s="9" t="inlineStr">
        <x:is>
          <x:t xml:space="preserve">None</x:t>
        </x:is>
      </x:c>
      <x:c r="W170" s="9" t="inlineStr">
        <x:is>
          <x:t xml:space="preserve">Synthetic - CIE training only</x:t>
        </x:is>
      </x:c>
    </x:row>
    <x:row r="171">
      <x:c r="A171" s="9" t="inlineStr">
        <x:is>
          <x:t xml:space="preserve">TBR-0166</x:t>
        </x:is>
      </x:c>
      <x:c r="B171" s="9" t="inlineStr">
        <x:is>
          <x:t xml:space="preserve">Q3 2026</x:t>
        </x:is>
      </x:c>
      <x:c r="C171" s="9" t="inlineStr">
        <x:is>
          <x:t xml:space="preserve">Bulgaria</x:t>
        </x:is>
      </x:c>
      <x:c r="D171" s="9" t="inlineStr">
        <x:is>
          <x:t xml:space="preserve">Wholesale</x:t>
        </x:is>
      </x:c>
      <x:c r="E171" s="9" t="inlineStr">
        <x:is>
          <x:t xml:space="preserve">Sunfield Wholesale (BG)</x:t>
        </x:is>
      </x:c>
      <x:c r="F171" s="9" t="inlineStr">
        <x:is>
          <x:t xml:space="preserve">Developing</x:t>
        </x:is>
      </x:c>
      <x:c r="G171" s="9" t="inlineStr">
        <x:is>
          <x:t xml:space="preserve">Vapour</x:t>
        </x:is>
      </x:c>
      <x:c r="H171" s="10" t="n">
        <x:v>644.6</x:v>
      </x:c>
      <x:c r="I171" s="10" t="n">
        <x:v>641.5</x:v>
      </x:c>
      <x:c r="J171" s="11" t="n">
        <x:v>-0.0048</x:v>
      </x:c>
      <x:c r="K171" s="10" t="n">
        <x:v>336.8</x:v>
      </x:c>
      <x:c r="L171" s="10" t="n">
        <x:v>336.7</x:v>
      </x:c>
      <x:c r="M171" s="11" t="n">
        <x:v>-0.0003</x:v>
      </x:c>
      <x:c r="N171" s="10" t="n">
        <x:v>72.90000000000001</x:v>
      </x:c>
      <x:c r="O171" s="16" t="n">
        <x:v>0.1</x:v>
      </x:c>
      <x:c r="P171" s="9" t="inlineStr">
        <x:is>
          <x:t xml:space="preserve">None</x:t>
        </x:is>
      </x:c>
      <x:c r="Q171" s="9" t="inlineStr">
        <x:is>
          <x:t xml:space="preserve">None</x:t>
        </x:is>
      </x:c>
      <x:c r="R171" s="9" t="inlineStr">
        <x:is>
          <x:t xml:space="preserve">Update account plan for Q4</x:t>
        </x:is>
      </x:c>
      <x:c r="S171" s="9" t="inlineStr">
        <x:is>
          <x:t xml:space="preserve">Distributor Development Manager</x:t>
        </x:is>
      </x:c>
      <x:c r="T171" s="17" t="n">
        <x:v>46278</x:v>
      </x:c>
      <x:c r="U171" s="9" t="inlineStr">
        <x:is>
          <x:t xml:space="preserve">Overdue</x:t>
        </x:is>
      </x:c>
      <x:c r="V171" s="9" t="inlineStr">
        <x:is>
          <x:t xml:space="preserve">None</x:t>
        </x:is>
      </x:c>
      <x:c r="W171" s="9" t="inlineStr">
        <x:is>
          <x:t xml:space="preserve">Synthetic - CIE training only</x:t>
        </x:is>
      </x:c>
    </x:row>
    <x:row r="172">
      <x:c r="A172" s="9" t="inlineStr">
        <x:is>
          <x:t xml:space="preserve">TBR-0167</x:t>
        </x:is>
      </x:c>
      <x:c r="B172" s="9" t="inlineStr">
        <x:is>
          <x:t xml:space="preserve">Q3 2026</x:t>
        </x:is>
      </x:c>
      <x:c r="C172" s="9" t="inlineStr">
        <x:is>
          <x:t xml:space="preserve">Bulgaria</x:t>
        </x:is>
      </x:c>
      <x:c r="D172" s="9" t="inlineStr">
        <x:is>
          <x:t xml:space="preserve">Wholesale</x:t>
        </x:is>
      </x:c>
      <x:c r="E172" s="9" t="inlineStr">
        <x:is>
          <x:t xml:space="preserve">Tidewater Wholesale (BG)</x:t>
        </x:is>
      </x:c>
      <x:c r="F172" s="9" t="inlineStr">
        <x:is>
          <x:t xml:space="preserve">Core</x:t>
        </x:is>
      </x:c>
      <x:c r="G172" s="9" t="inlineStr">
        <x:is>
          <x:t xml:space="preserve">Modern Oral</x:t>
        </x:is>
      </x:c>
      <x:c r="H172" s="10" t="n">
        <x:v>589.3</x:v>
      </x:c>
      <x:c r="I172" s="10" t="n">
        <x:v>653.4</x:v>
      </x:c>
      <x:c r="J172" s="11" t="n">
        <x:v>0.1088</x:v>
      </x:c>
      <x:c r="K172" s="10" t="n">
        <x:v>303.4</x:v>
      </x:c>
      <x:c r="L172" s="10" t="n">
        <x:v>326.8</x:v>
      </x:c>
      <x:c r="M172" s="11" t="n">
        <x:v>0.0771</x:v>
      </x:c>
      <x:c r="N172" s="10" t="n">
        <x:v>61.1</x:v>
      </x:c>
      <x:c r="O172" s="16" t="n">
        <x:v>-0.9</x:v>
      </x:c>
      <x:c r="P172" s="9" t="inlineStr">
        <x:is>
          <x:t xml:space="preserve">Standard</x:t>
        </x:is>
      </x:c>
      <x:c r="Q172" s="9" t="inlineStr">
        <x:is>
          <x:t xml:space="preserve">None</x:t>
        </x:is>
      </x:c>
      <x:c r="R172" s="9" t="inlineStr">
        <x:is>
          <x:t xml:space="preserve">None</x:t>
        </x:is>
      </x:c>
      <x:c r="S172" s="9" t="n"/>
      <x:c r="T172" s="17" t="n"/>
      <x:c r="U172" s="9" t="inlineStr">
        <x:is>
          <x:t xml:space="preserve">No action</x:t>
        </x:is>
      </x:c>
      <x:c r="V172" s="9" t="inlineStr">
        <x:is>
          <x:t xml:space="preserve">None</x:t>
        </x:is>
      </x:c>
      <x:c r="W172" s="9" t="inlineStr">
        <x:is>
          <x:t xml:space="preserve">Synthetic - CIE training only</x:t>
        </x:is>
      </x:c>
    </x:row>
    <x:row r="173">
      <x:c r="A173" s="9" t="inlineStr">
        <x:is>
          <x:t xml:space="preserve">TBR-0168</x:t>
        </x:is>
      </x:c>
      <x:c r="B173" s="9" t="inlineStr">
        <x:is>
          <x:t xml:space="preserve">Q3 2026</x:t>
        </x:is>
      </x:c>
      <x:c r="C173" s="9" t="inlineStr">
        <x:is>
          <x:t xml:space="preserve">Bulgaria</x:t>
        </x:is>
      </x:c>
      <x:c r="D173" s="9" t="inlineStr">
        <x:is>
          <x:t xml:space="preserve">Wholesale</x:t>
        </x:is>
      </x:c>
      <x:c r="E173" s="9" t="inlineStr">
        <x:is>
          <x:t xml:space="preserve">Sunfield Wholesale (BG)</x:t>
        </x:is>
      </x:c>
      <x:c r="F173" s="9" t="inlineStr">
        <x:is>
          <x:t xml:space="preserve">Strategic</x:t>
        </x:is>
      </x:c>
      <x:c r="G173" s="9" t="inlineStr">
        <x:is>
          <x:t xml:space="preserve">Modern Oral</x:t>
        </x:is>
      </x:c>
      <x:c r="H173" s="10" t="n">
        <x:v>688</x:v>
      </x:c>
      <x:c r="I173" s="10" t="n">
        <x:v>746.5</x:v>
      </x:c>
      <x:c r="J173" s="11" t="n">
        <x:v>0.08500000000000001</x:v>
      </x:c>
      <x:c r="K173" s="10" t="n">
        <x:v>334.1</x:v>
      </x:c>
      <x:c r="L173" s="10" t="n">
        <x:v>368</x:v>
      </x:c>
      <x:c r="M173" s="11" t="n">
        <x:v>0.1015</x:v>
      </x:c>
      <x:c r="N173" s="10" t="n">
        <x:v>66.09999999999999</x:v>
      </x:c>
      <x:c r="O173" s="16" t="n">
        <x:v>0.9</x:v>
      </x:c>
      <x:c r="P173" s="9" t="inlineStr">
        <x:is>
          <x:t xml:space="preserve">None</x:t>
        </x:is>
      </x:c>
      <x:c r="Q173" s="9" t="inlineStr">
        <x:is>
          <x:t xml:space="preserve">None</x:t>
        </x:is>
      </x:c>
      <x:c r="R173" s="9" t="inlineStr">
        <x:is>
          <x:t xml:space="preserve">None</x:t>
        </x:is>
      </x:c>
      <x:c r="S173" s="9" t="n"/>
      <x:c r="T173" s="17" t="n"/>
      <x:c r="U173" s="9" t="inlineStr">
        <x:is>
          <x:t xml:space="preserve">No action</x:t>
        </x:is>
      </x:c>
      <x:c r="V173" s="9" t="inlineStr">
        <x:is>
          <x:t xml:space="preserve">None</x:t>
        </x:is>
      </x:c>
      <x:c r="W173" s="9" t="inlineStr">
        <x:is>
          <x:t xml:space="preserve">Synthetic - CIE training only</x:t>
        </x:is>
      </x:c>
    </x:row>
  </x:sheetData>
  <x:conditionalFormatting sqref="M6:M173">
    <x:cfRule type="cellIs" dxfId="1" priority="1" operator="lessThan">
      <x:formula>-0.05</x:formula>
    </x:cfRule>
  </x:conditionalFormatting>
  <x:conditionalFormatting sqref="U6:U173">
    <x:cfRule type="cellIs" dxfId="2" priority="2" operator="equal">
      <x:formula>"Overdue"</x:formula>
    </x:cfRule>
  </x:conditionalFormatting>
  <x:pageMargins left="0.7" right="0.7" top="0.75" bottom="0.75" header="0.3" footer="0.3"/>
  <x:tableParts count="1">
    <x:tablePart xmlns:r="http://schemas.openxmlformats.org/officeDocument/2006/relationships" r:id="R7b44544d5f4349e3"/>
  </x:tableParts>
</x:worksheet>
</file>

<file path=xl/worksheets/sheet4.xml><?xml version="1.0" encoding="utf-8"?>
<x:worksheet xmlns:x="http://schemas.openxmlformats.org/spreadsheetml/2006/main">
  <x:sheetFormatPr baseColWidth="8" defaultRowHeight="15"/>
  <x:cols>
    <x:col min="1" max="1" width="5" customWidth="1"/>
    <x:col min="2" max="2" width="12" customWidth="1"/>
    <x:col min="3" max="3" width="20" customWidth="1"/>
    <x:col min="4" max="4" width="110" customWidth="1"/>
  </x:cols>
  <x:sheetData>
    <x:row r="1">
      <x:c r="A1" s="1" t="inlineStr">
        <x:is>
          <x:t xml:space="preserve">Copy-ready prompts (reference real sheet and column names)</x:t>
        </x:is>
      </x:c>
    </x:row>
    <x:row r="2">
      <x:c r="A2" s="2" t="inlineStr">
        <x:is>
          <x:t xml:space="preserve">Use with Copilot in Excel, Word, PowerPoint and Teams. Always review outputs - Copilot can be wrong.</x:t>
        </x:is>
      </x:c>
    </x:row>
    <x:row r="3">
      <x:c r="A3" s="3" t="inlineStr">
        <x:is>
          <x:t xml:space="preserve">SYNTHETIC CIE TRAINING MATERIAL - Not official BAT information, policy, employee data, process, or findings.</x:t>
        </x:is>
      </x:c>
      <x:c r="B3" s="4" t="n"/>
      <x:c r="C3" s="4" t="n"/>
      <x:c r="D3" s="4" t="n"/>
    </x:row>
    <x:row r="5">
      <x:c r="A5" s="8" t="inlineStr">
        <x:is>
          <x:t xml:space="preserve">#</x:t>
        </x:is>
      </x:c>
      <x:c r="B5" s="8" t="inlineStr">
        <x:is>
          <x:t xml:space="preserve">App</x:t>
        </x:is>
      </x:c>
      <x:c r="C5" s="8" t="inlineStr">
        <x:is>
          <x:t xml:space="preserve">Purpose</x:t>
        </x:is>
      </x:c>
      <x:c r="D5" s="8" t="inlineStr">
        <x:is>
          <x:t xml:space="preserve">Prompt</x:t>
        </x:is>
      </x:c>
    </x:row>
    <x:row r="6" ht="95" customHeight="1">
      <x:c r="A6" s="6" t="n">
        <x:v>1</x:v>
      </x:c>
      <x:c r="B6" s="6" t="inlineStr">
        <x:is>
          <x:t xml:space="preserve">Excel</x:t>
        </x:is>
      </x:c>
      <x:c r="C6" s="6" t="inlineStr">
        <x:is>
          <x:t xml:space="preserve">Market analysis</x:t>
        </x:is>
      </x:c>
      <x:c r="D6" s="6" t="inlineStr">
        <x:is>
          <x:t xml:space="preserve">Using the TradeData table on the Trade_Data sheet, create a summary by Market with total Value_Plan_kEUR, Value_Actual_kEUR and weighted value variance (sum actual / sum plan - 1). Add the record count per market. Flag any market-channel combination where weighted variance is below -5% as Red and between -2% and -5% as Amber. Show counts and sample sizes; do not invent data that is not in the table.</x:t>
        </x:is>
      </x:c>
    </x:row>
    <x:row r="7" ht="95" customHeight="1">
      <x:c r="A7" s="6" t="n">
        <x:v>2</x:v>
      </x:c>
      <x:c r="B7" s="6" t="inlineStr">
        <x:is>
          <x:t xml:space="preserve">Excel</x:t>
        </x:is>
      </x:c>
      <x:c r="C7" s="6" t="inlineStr">
        <x:is>
          <x:t xml:space="preserve">Customer insights</x:t>
        </x:is>
      </x:c>
      <x:c r="D7" s="6" t="inlineStr">
        <x:is>
          <x:t xml:space="preserve">From TradeData, list the 5 Customer_Account values with the largest negative gap between Value_Actual_kEUR and Value_Plan_kEUR. For each, show Market, Channel, Customer_Tier, Distribution_Change_pp and Competitive_Signal. Separate what the data shows (evidence) from possible explanations (inference) and label the inference clearly. Accounts are fictional.</x:t>
        </x:is>
      </x:c>
    </x:row>
    <x:row r="8" ht="95" customHeight="1">
      <x:c r="A8" s="6" t="n">
        <x:v>3</x:v>
      </x:c>
      <x:c r="B8" s="6" t="inlineStr">
        <x:is>
          <x:t xml:space="preserve">Excel</x:t>
        </x:is>
      </x:c>
      <x:c r="C8" s="6" t="inlineStr">
        <x:is>
          <x:t xml:space="preserve">Promotion effectiveness</x:t>
        </x:is>
      </x:c>
      <x:c r="D8" s="6" t="inlineStr">
        <x:is>
          <x:t xml:space="preserve">Compare Promo_Activity groups (None, Standard, Intensive) in TradeData: record count, weighted volume variance (Volume_Actual_kUnits vs Volume_Plan_kUnits) and weighted value variance. Explain in 3 bullets what the pattern suggests for the Q4 promotion review, and state that ROI and investment decisions need human approval.</x:t>
        </x:is>
      </x:c>
    </x:row>
    <x:row r="9" ht="95" customHeight="1">
      <x:c r="A9" s="6" t="n">
        <x:v>4</x:v>
      </x:c>
      <x:c r="B9" s="6" t="inlineStr">
        <x:is>
          <x:t xml:space="preserve">Excel</x:t>
        </x:is>
      </x:c>
      <x:c r="C9" s="6" t="inlineStr">
        <x:is>
          <x:t xml:space="preserve">Action tracking</x:t>
        </x:is>
      </x:c>
      <x:c r="D9" s="6" t="inlineStr">
        <x:is>
          <x:t xml:space="preserve">Filter TradeData to rows where Open_Action is not 'None'. Count actions by Market and Action_Status, show the overdue percentage per market, and list overdue actions with Action_Owner, Action_Due_Date and Decision_Topic. Use the status as recorded; do not change or infer statuses.</x:t>
        </x:is>
      </x:c>
    </x:row>
    <x:row r="10" ht="95" customHeight="1">
      <x:c r="A10" s="6" t="n">
        <x:v>5</x:v>
      </x:c>
      <x:c r="B10" s="6" t="inlineStr">
        <x:is>
          <x:t xml:space="preserve">Word</x:t>
        </x:is>
      </x:c>
      <x:c r="C10" s="6" t="inlineStr">
        <x:is>
          <x:t xml:space="preserve">Executive briefing</x:t>
        </x:is>
      </x:c>
      <x:c r="D10" s="6" t="inlineStr">
        <x:is>
          <x:t xml:space="preserve">Using the Facilitator Summary and Trade_Data sheets in BAT_Regional_Trade_Performance_SYNTHETIC.xlsx and the TBR executive brief template in BAT_Trade_Business_Review_Framework_SYNTHETIC.docx, draft a 1-page executive briefing for the Regional TM&amp;D Lead on Q3 2026. Sections: Headline, What happened (with figures and sample sizes), Why (evidence vs inference), Risks, Decisions requested (options only, no recommendation on pricing or customer terms), Actions. Mark it DRAFT - for human review. Do not invent figures or policy.</x:t>
        </x:is>
      </x:c>
    </x:row>
    <x:row r="11" ht="95" customHeight="1">
      <x:c r="A11" s="6" t="n">
        <x:v>6</x:v>
      </x:c>
      <x:c r="B11" s="6" t="inlineStr">
        <x:is>
          <x:t xml:space="preserve">PowerPoint</x:t>
        </x:is>
      </x:c>
      <x:c r="C11" s="6" t="inlineStr">
        <x:is>
          <x:t xml:space="preserve">Business review</x:t>
        </x:is>
      </x:c>
      <x:c r="D11" s="6" t="inlineStr">
        <x:is>
          <x:t xml:space="preserve">Create a 6-slide Q3 2026 Regional Trade Business Review from the executive brief: 1 headline scorecard by market, 2 Romania Traditional Trade deep-dive, 3 Türkiye Convenience &amp; Fuel competitive pressure, 4 category and promotion insights, 5 action tracker status with Greece overdue focus, 6 decisions requested from leadership (options, owners, escalation route). Keep one message per slide and add speaker notes. Label all slides as synthetic training material.</x:t>
        </x:is>
      </x:c>
    </x:row>
    <x:row r="12" ht="95" customHeight="1">
      <x:c r="A12" s="6" t="n">
        <x:v>7</x:v>
      </x:c>
      <x:c r="B12" s="6" t="inlineStr">
        <x:is>
          <x:t xml:space="preserve">Teams</x:t>
        </x:is>
      </x:c>
      <x:c r="C12" s="6" t="inlineStr">
        <x:is>
          <x:t xml:space="preserve">Meeting preparation</x:t>
        </x:is>
      </x:c>
      <x:c r="D12" s="6" t="inlineStr">
        <x:is>
          <x:t xml:space="preserve">Prepare me for the Q3 Regional Trade Business Review meeting: summarise the pre-read (executive brief and BAT_Regional_Trade_Performance_SYNTHETIC.xlsx) into 5 talking points, 3 questions leadership is likely to ask with evidence-based answers, and a 60-minute agenda that follows the TBR Framework. Flag anything that needs local market confirmation.</x:t>
        </x:is>
      </x:c>
    </x:row>
    <x:row r="13" ht="95" customHeight="1">
      <x:c r="A13" s="6" t="n">
        <x:v>8</x:v>
      </x:c>
      <x:c r="B13" s="6" t="inlineStr">
        <x:is>
          <x:t xml:space="preserve">Teams</x:t>
        </x:is>
      </x:c>
      <x:c r="C13" s="6" t="inlineStr">
        <x:is>
          <x:t xml:space="preserve">Action follow-up</x:t>
        </x:is>
      </x:c>
      <x:c r="D13" s="6" t="inlineStr">
        <x:is>
          <x:t xml:space="preserve">From the meeting notes and the overdue actions in Trade_Data, draft a follow-up message to the review attendees listing each action with owner role, due date and decision topic. Separate actions we own from decisions that must be escalated (pricing, customer terms, trade investment, portfolio). Do not send - draft for my review.</x:t>
        </x:is>
      </x:c>
    </x:row>
  </x:sheetData>
  <x:pageMargins left="0.7" right="0.7" top="0.75" bottom="0.75" header="0.3" footer="0.3"/>
</x: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