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5.xml" ContentType="application/vnd.openxmlformats-officedocument.spreadsheetml.worksheet+xml"/>
  <Override PartName="/docMetadata/LabelInfo.xml" ContentType="application/vnd.ms-office.classificationlabels+xml"/>
</Types>
</file>

<file path=_rels/.rels><?xml version="1.0" encoding="utf-8"?><Relationships xmlns="http://schemas.openxmlformats.org/package/2006/relationships"><Relationship Type="http://schemas.openxmlformats.org/officeDocument/2006/relationships/officeDocument" Target="/xl/workbook.xml" Id="R28cb2f45a35f4d31" /><Relationship Id="rId2" Type="http://schemas.microsoft.com/office/2020/02/relationships/classificationlabels" Target="docMetadata/LabelInfo.xml" /></Relationships>
</file>

<file path=xl/workbook.xml><?xml version="1.0" encoding="utf-8"?>
<x:workbook xmlns:x="http://schemas.openxmlformats.org/spreadsheetml/2006/main">
  <x:sheets>
    <x:sheet xmlns:r="http://schemas.openxmlformats.org/officeDocument/2006/relationships" name="README" sheetId="1" r:id="R3e234957fa22421e"/>
    <x:sheet xmlns:r="http://schemas.openxmlformats.org/officeDocument/2006/relationships" name="Monthly_Performance" sheetId="2" r:id="R0e0a7b954b6a4488"/>
    <x:sheet xmlns:r="http://schemas.openxmlformats.org/officeDocument/2006/relationships" name="Q4_Budget" sheetId="3" r:id="Rd4210593c84c452e"/>
    <x:sheet xmlns:r="http://schemas.openxmlformats.org/officeDocument/2006/relationships" name="Facilitator_Summary" sheetId="4" r:id="R30e2dd67f2874805"/>
    <x:sheet xmlns:r="http://schemas.openxmlformats.org/officeDocument/2006/relationships" name="Prompts" sheetId="5" r:id="R1a156db9a7f54ae6"/>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yyyy-mm-dd h:mm:ss"/>
    <x:numFmt numFmtId="165" formatCode="dd-mmm-yyyy"/>
    <x:numFmt numFmtId="166" formatCode="#,##0.00;[Red]-#,##0.00"/>
    <x:numFmt numFmtId="167" formatCode="0.0%"/>
  </x:numFmts>
  <x:fonts count="10">
    <x:font>
      <x:sz val="11"/>
      <x:color theme="1"/>
      <x:name val="Calibri"/>
    </x:font>
    <x:font>
      <x:b/>
      <x:sz val="16"/>
      <x:color rgb="2F3640"/>
      <x:name val="Segoe UI"/>
    </x:font>
    <x:font>
      <x:sz val="10"/>
      <x:color rgb="666B7A"/>
      <x:name val="Segoe UI"/>
    </x:font>
    <x:font>
      <x:b/>
      <x:sz val="10"/>
      <x:color rgb="8A1C1C"/>
      <x:name val="Segoe UI"/>
    </x:font>
    <x:font>
      <x:b/>
      <x:color rgb="5B5FC7"/>
      <x:name val="Segoe UI"/>
    </x:font>
    <x:font>
      <x:b/>
      <x:sz val="12"/>
      <x:color rgb="2F3640"/>
      <x:name val="Segoe UI"/>
    </x:font>
    <x:font>
      <x:b/>
      <x:color rgb="FFFFFF"/>
      <x:name val="Segoe UI"/>
    </x:font>
    <x:font>
      <x:b/>
      <x:sz val="12"/>
      <x:name val="Segoe UI"/>
    </x:font>
    <x:font>
      <x:b/>
    </x:font>
    <x:font>
      <x:b/>
      <x:color rgb="5B5FC7"/>
    </x:font>
  </x:fonts>
  <x:fills count="4">
    <x:fill>
      <x:patternFill patternType="none"/>
    </x:fill>
    <x:fill>
      <x:patternFill patternType="gray125"/>
    </x:fill>
    <x:fill>
      <x:patternFill patternType="solid">
        <x:fgColor rgb="FDECEA"/>
      </x:patternFill>
    </x:fill>
    <x:fill>
      <x:patternFill patternType="solid">
        <x:fgColor rgb="5B5FC7"/>
      </x:patternFill>
    </x:fill>
  </x:fills>
  <x:borders count="2">
    <x:border/>
    <x:border>
      <x:left style="thin">
        <x:color rgb="C9CCE8"/>
      </x:left>
      <x:right style="thin">
        <x:color rgb="C9CCE8"/>
      </x:right>
      <x:top style="thin">
        <x:color rgb="C9CCE8"/>
      </x:top>
      <x:bottom style="thin">
        <x:color rgb="C9CCE8"/>
      </x:bottom>
    </x:border>
  </x:borders>
  <x:cellStyleXfs count="1">
    <x:xf numFmtId="0" fontId="0" fillId="0" borderId="0"/>
  </x:cellStyleXfs>
  <x:cellXfs count="23">
    <x:xf numFmtId="0" fontId="0" fillId="0" borderId="0" xfId="0"/>
    <x:xf numFmtId="0" fontId="1" fillId="0" borderId="0" xfId="0"/>
    <x:xf numFmtId="0" fontId="2" fillId="0" borderId="0" xfId="0"/>
    <x:xf numFmtId="0" fontId="3" fillId="2" borderId="0" xfId="0"/>
    <x:xf numFmtId="0" fontId="0" fillId="2" borderId="0" xfId="0"/>
    <x:xf numFmtId="0" fontId="4" fillId="0" borderId="0" xfId="0" applyAlignment="1">
      <x:alignment vertical="top"/>
    </x:xf>
    <x:xf numFmtId="0" fontId="0" fillId="0" borderId="0" xfId="0" applyAlignment="1">
      <x:alignment vertical="top" wrapText="1"/>
    </x:xf>
    <x:xf numFmtId="0" fontId="5" fillId="0" borderId="0" xfId="0"/>
    <x:xf numFmtId="0" fontId="6" fillId="3" borderId="1" xfId="0" applyAlignment="1">
      <x:alignment vertical="center" wrapText="1"/>
    </x:xf>
    <x:xf numFmtId="0" fontId="0" fillId="0" borderId="0" xfId="0" applyAlignment="1">
      <x:alignment wrapText="1"/>
    </x:xf>
    <x:xf numFmtId="165" fontId="0" fillId="0" borderId="0" xfId="0"/>
    <x:xf numFmtId="166" fontId="0" fillId="0" borderId="0" xfId="0"/>
    <x:xf numFmtId="167" fontId="0" fillId="0" borderId="0" xfId="0"/>
    <x:xf numFmtId="4" fontId="0" fillId="0" borderId="0" xfId="0"/>
    <x:xf numFmtId="0" fontId="4" fillId="0" borderId="0" xfId="0" applyAlignment="1">
      <x:alignment vertical="top" wrapText="1"/>
    </x:xf>
    <x:xf numFmtId="4" fontId="0" fillId="0" borderId="0" xfId="0" applyAlignment="1">
      <x:alignment vertical="top" wrapText="1"/>
    </x:xf>
    <x:xf numFmtId="167" fontId="0" fillId="0" borderId="0" xfId="0" applyAlignment="1">
      <x:alignment vertical="top" wrapText="1"/>
    </x:xf>
    <x:xf numFmtId="1" fontId="0" fillId="0" borderId="0" xfId="0" applyAlignment="1">
      <x:alignment vertical="top" wrapText="1"/>
    </x:xf>
    <x:xf numFmtId="0" fontId="7" fillId="0" borderId="0" xfId="0"/>
    <x:xf numFmtId="0" fontId="8" fillId="0" borderId="0" xfId="0"/>
    <x:xf numFmtId="166" fontId="8" fillId="0" borderId="0" xfId="0"/>
    <x:xf numFmtId="0" fontId="9" fillId="0" borderId="0" xfId="0" applyAlignment="1">
      <x:alignment vertical="top"/>
    </x:xf>
    <x:xf numFmtId="0" fontId="0" fillId="0" borderId="0" xfId="0" applyAlignment="1">
      <x:alignment vertical="top"/>
    </x:xf>
  </x:cellXfs>
  <x:cellStyles count="1">
    <x:cellStyle name="Normal" xfId="0"/>
  </x:cellStyles>
  <x:dxfs count="4">
    <x:dxf>
      <x:font>
        <x:color rgb="008A1C1C"/>
      </x:font>
      <x:fill>
        <x:patternFill>
          <x:bgColor rgb="00FDECEA"/>
        </x:patternFill>
      </x:fill>
    </x:dxf>
    <x:dxf>
      <x:font>
        <x:color rgb="00205B52"/>
      </x:font>
      <x:fill>
        <x:patternFill>
          <x:bgColor rgb="00E6F4EA"/>
        </x:patternFill>
      </x:fill>
    </x:dxf>
    <x:dxf>
      <x:font>
        <x:b/>
        <x:color rgb="00B54708"/>
      </x:font>
      <x:fill>
        <x:patternFill>
          <x:bgColor rgb="00FFF4E5"/>
        </x:patternFill>
      </x:fill>
    </x:dxf>
    <x:dxf>
      <x:fill>
        <x:patternFill>
          <x:bgColor rgb="00FFF4E5"/>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ec6a6e1da574039" /><Relationship Type="http://schemas.openxmlformats.org/officeDocument/2006/relationships/theme" Target="/xl/theme/theme1.xml" Id="Rffbeeb95272549bf" /><Relationship Type="http://schemas.openxmlformats.org/officeDocument/2006/relationships/sharedStrings" Target="/xl/sharedStrings.xml" Id="Rb0386c8a758f49c3" /><Relationship Type="http://schemas.openxmlformats.org/officeDocument/2006/relationships/worksheet" Target="/xl/worksheets/sheet1.xml" Id="R3e234957fa22421e" /><Relationship Type="http://schemas.openxmlformats.org/officeDocument/2006/relationships/worksheet" Target="/xl/worksheets/sheet2.xml" Id="R0e0a7b954b6a4488" /><Relationship Type="http://schemas.openxmlformats.org/officeDocument/2006/relationships/worksheet" Target="/xl/worksheets/sheet3.xml" Id="Rd4210593c84c452e" /><Relationship Type="http://schemas.openxmlformats.org/officeDocument/2006/relationships/worksheet" Target="/xl/worksheets/sheet4.xml" Id="R30e2dd67f2874805" /><Relationship Type="http://schemas.openxmlformats.org/officeDocument/2006/relationships/worksheet" Target="/xl/worksheets/sheet5.xml" Id="R1a156db9a7f54ae6" /></Relationships>
</file>

<file path=xl/drawings/_rels/drawing1.xml.rels>&#65279;<?xml version="1.0" encoding="utf-8"?><Relationships xmlns="http://schemas.openxmlformats.org/package/2006/relationships"><Relationship Type="http://schemas.openxmlformats.org/officeDocument/2006/relationships/chart" Target="/xl/drawings/charts/chart1.xml" Id="Ref3b4f4e6b894d6a" /><Relationship Type="http://schemas.openxmlformats.org/officeDocument/2006/relationships/chart" Target="/xl/drawings/charts/chart2.xml" Id="R6f618e2d322245b2" /></Relationships>
</file>

<file path=xl/drawings/charts/chart1.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a:t>Q3 profit impact vs budget by market (GBP m, synthetic)</a:t>
            </a:r>
          </a:p>
        </c:rich>
      </c:tx>
      <c:overlay val="0"/>
    </c:title>
    <c:autoTitleDeleted val="0"/>
    <c:plotArea>
      <c:layout/>
      <c:barChart>
        <c:barDir val="bar"/>
        <c:grouping val="clustered"/>
        <c:ser>
          <c:idx val="0"/>
          <c:order val="0"/>
          <c:tx>
            <c:strRef>
              <c:f>'Facilitator_Summary'!B16</c:f>
              <c:strCache>
                <c:ptCount val="1"/>
                <c:pt idx="0">
                  <c:v/>
                </c:pt>
              </c:strCache>
            </c:strRef>
          </c:tx>
          <c:spPr>
            <a:ln xmlns:a="http://schemas.openxmlformats.org/drawingml/2006/main"/>
          </c:spPr>
          <c:cat>
            <c:strRef>
              <c:f>'Facilitator_Summary'!$A$17:$A$22</c:f>
              <c:strCache>
                <c:ptCount val="0"/>
              </c:strCache>
            </c:strRef>
          </c:cat>
          <c:val>
            <c:numRef>
              <c:f>'Facilitator_Summary'!$B$17:$B$22</c:f>
              <c:numCache>
                <c:formatCode/>
                <c:ptCount val="0"/>
              </c:numCache>
            </c:numRef>
          </c:val>
        </c:ser>
        <c:gapWidth val="150"/>
        <c:axId val="48650112"/>
        <c:axId val="48672768"/>
      </c:barChart>
      <c:catAx>
        <c:axId val="48650112"/>
        <c:scaling>
          <c:orientation val="minMax"/>
        </c:scaling>
        <c:delete val="0"/>
        <c:axPos val="l"/>
        <c:numFmt formatCode=""/>
        <c:majorTickMark val="none"/>
        <c:minorTickMark val="none"/>
        <c:crossAx val="48672768"/>
        <c:crosses val="autoZero"/>
        <c:lblAlgn val="ctr"/>
        <c:lblOffset val="100"/>
        <c:noMultiLvlLbl val="0"/>
      </c:catAx>
      <c:valAx>
        <c:axId val="48672768"/>
        <c:scaling>
          <c:orientation val="minMax"/>
        </c:scaling>
        <c:delete val="0"/>
        <c:axPos val="b"/>
        <c:title>
          <c:tx>
            <c:rich>
              <a:bodyPr xmlns:a="http://schemas.openxmlformats.org/drawingml/2006/main"/>
              <a:lstStyle xmlns:a="http://schemas.openxmlformats.org/drawingml/2006/main"/>
              <a:p xmlns:a="http://schemas.openxmlformats.org/drawingml/2006/main">
                <a:r>
                  <a:rPr/>
                  <a:t>GBP m</a:t>
                </a:r>
              </a:p>
            </c:rich>
          </c:tx>
        </c:title>
        <c:numFmt formatCode=""/>
        <c:majorTickMark val="none"/>
        <c:minorTickMark val="none"/>
        <c:crossAx val="48650112"/>
        <c:crosses val="autoZero"/>
        <c:crossBetween val="between"/>
      </c:valAx>
    </c:plotArea>
    <c:plotVisOnly val="1"/>
  </c:chart>
</c:chartSpace>
</file>

<file path=xl/drawings/charts/chart2.xml><?xml version="1.0" encoding="utf-8"?>
<c:chartSpace xmlns:c="http://schemas.openxmlformats.org/drawingml/2006/chart">
  <c:lang val="en-US"/>
  <c:chart>
    <c:title>
      <c:tx>
        <c:rich>
          <a:bodyPr xmlns:a="http://schemas.openxmlformats.org/drawingml/2006/main"/>
          <a:lstStyle xmlns:a="http://schemas.openxmlformats.org/drawingml/2006/main"/>
          <a:p xmlns:a="http://schemas.openxmlformats.org/drawingml/2006/main">
            <a:r>
              <a:rPr/>
              <a:t>Region Net Revenue variance by driver (GBP m, synthetic)</a:t>
            </a:r>
          </a:p>
        </c:rich>
      </c:tx>
      <c:overlay val="0"/>
    </c:title>
    <c:autoTitleDeleted val="0"/>
    <c:plotArea>
      <c:layout/>
      <c:barChart>
        <c:barDir val="col"/>
        <c:grouping val="clustered"/>
        <c:ser>
          <c:idx val="0"/>
          <c:order val="0"/>
          <c:tx>
            <c:strRef>
              <c:f>'Facilitator_Summary'!B27</c:f>
              <c:strCache>
                <c:ptCount val="1"/>
                <c:pt idx="0">
                  <c:v/>
                </c:pt>
              </c:strCache>
            </c:strRef>
          </c:tx>
          <c:spPr>
            <a:ln xmlns:a="http://schemas.openxmlformats.org/drawingml/2006/main"/>
          </c:spPr>
          <c:cat>
            <c:strRef>
              <c:f>'Facilitator_Summary'!$A$28:$A$31</c:f>
              <c:strCache>
                <c:ptCount val="0"/>
              </c:strCache>
            </c:strRef>
          </c:cat>
          <c:val>
            <c:numRef>
              <c:f>'Facilitator_Summary'!$B$28:$B$31</c:f>
              <c:numCache>
                <c:formatCode/>
                <c:ptCount val="0"/>
              </c:numCache>
            </c:numRef>
          </c:val>
        </c:ser>
        <c:gapWidth val="150"/>
        <c:axId val="48650112"/>
        <c:axId val="48672768"/>
      </c:barChart>
      <c:catAx>
        <c:axId val="48650112"/>
        <c:scaling>
          <c:orientation val="minMax"/>
        </c:scaling>
        <c:delete val="0"/>
        <c:axPos val="l"/>
        <c:numFmt formatCode=""/>
        <c:majorTickMark val="none"/>
        <c:minorTickMark val="none"/>
        <c:crossAx val="48672768"/>
        <c:crosses val="autoZero"/>
        <c:lblAlgn val="ctr"/>
        <c:lblOffset val="100"/>
        <c:noMultiLvlLbl val="0"/>
      </c:catAx>
      <c:valAx>
        <c:axId val="48672768"/>
        <c:scaling>
          <c:orientation val="minMax"/>
        </c:scaling>
        <c:delete val="0"/>
        <c:axPos val="l"/>
        <c:numFmt formatCode=""/>
        <c:majorTickMark val="none"/>
        <c:minorTickMark val="none"/>
        <c:crossAx val="48650112"/>
        <c:crosses val="autoZero"/>
        <c:crossBetween val="between"/>
      </c:valAx>
    </c:plotArea>
    <c:plotVisOnly val="1"/>
  </c:chart>
</c:chartSpace>
</file>

<file path=xl/drawings/drawing1.xml><?xml version="1.0" encoding="utf-8"?>
<xdr:wsDr xmlns:xdr="http://schemas.openxmlformats.org/drawingml/2006/spreadsheetDrawing">
  <xdr:twoCellAnchor>
    <xdr:from>
      <xdr:col>2</xdr:col>
      <xdr:colOff>0</xdr:colOff>
      <xdr:row>4</xdr:row>
      <xdr:rowOff>0</xdr:rowOff>
    </xdr:from>
    <xdr:to>
      <xdr:col>7</xdr:col>
      <xdr:colOff>0</xdr:colOff>
      <xdr:row>10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f3b4f4e6b894d6a"/>
        </a:graphicData>
      </a:graphic>
    </xdr:graphicFrame>
    <xdr:clientData/>
  </xdr:twoCellAnchor>
  <xdr:twoCellAnchor>
    <xdr:from>
      <xdr:col>2</xdr:col>
      <xdr:colOff>0</xdr:colOff>
      <xdr:row>10</xdr:row>
      <xdr:rowOff>0</xdr:rowOff>
    </xdr:from>
    <xdr:to>
      <xdr:col>7</xdr:col>
      <xdr:colOff>0</xdr:colOff>
      <xdr:row>21</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6f618e2d322245b2"/>
        </a:graphicData>
      </a:graphic>
    </xdr:graphicFrame>
    <xdr:clientData/>
  </xdr:twoCellAnchor>
</xdr:wsDr>
</file>

<file path=xl/tables/table1.xml><?xml version="1.0" encoding="utf-8"?>
<x:table xmlns:x="http://schemas.openxmlformats.org/spreadsheetml/2006/main" id="1" name="tblPerformance" displayName="tblPerformance" ref="A5:AD167" headerRowCount="1">
  <x:autoFilter ref="A5:AD167"/>
  <x:tableColumns count="30">
    <x:tableColumn id="1" name="Row_ID"/>
    <x:tableColumn id="2" name="Period"/>
    <x:tableColumn id="3" name="Period_End"/>
    <x:tableColumn id="4" name="Region"/>
    <x:tableColumn id="5" name="Market"/>
    <x:tableColumn id="6" name="Function"/>
    <x:tableColumn id="7" name="Cost_Center"/>
    <x:tableColumn id="8" name="Account"/>
    <x:tableColumn id="9" name="Account_Type"/>
    <x:tableColumn id="10" name="Actual_GBPm"/>
    <x:tableColumn id="11" name="Budget_GBPm"/>
    <x:tableColumn id="12" name="Prior_Year_GBPm"/>
    <x:tableColumn id="13" name="Current_Forecast_GBPm"/>
    <x:tableColumn id="14" name="Var_vs_Budget_GBPm"/>
    <x:tableColumn id="15" name="Var_vs_Budget_Pct"/>
    <x:tableColumn id="16" name="Var_vs_PY_GBPm"/>
    <x:tableColumn id="17" name="Var_vs_PY_Pct"/>
    <x:tableColumn id="18" name="Var_vs_Forecast_GBPm"/>
    <x:tableColumn id="19" name="Profit_Impact_vs_Budget_GBPm"/>
    <x:tableColumn id="20" name="Fav_Unfav_Flag"/>
    <x:tableColumn id="21" name="Volume_Driver_GBPm"/>
    <x:tableColumn id="22" name="Price_Mix_Driver_GBPm"/>
    <x:tableColumn id="23" name="FX_Driver_GBPm"/>
    <x:tableColumn id="24" name="Timing_Driver_GBPm"/>
    <x:tableColumn id="25" name="Driver_Check_GBPm"/>
    <x:tableColumn id="26" name="Commentary_Required"/>
    <x:tableColumn id="27" name="Actual_Status"/>
    <x:tableColumn id="28" name="Risk"/>
    <x:tableColumn id="29" name="Opportunity"/>
    <x:tableColumn id="30" name="Data_Classification"/>
  </x:tableColumns>
  <x:tableStyleInfo name="TableStyleLight9" showRowStripes="1"/>
</x:table>
</file>

<file path=xl/tables/table2.xml><?xml version="1.0" encoding="utf-8"?>
<x:table xmlns:x="http://schemas.openxmlformats.org/spreadsheetml/2006/main" id="2" name="tblQ4Budget" displayName="tblQ4Budget" ref="A5:I59" headerRowCount="1">
  <x:autoFilter ref="A5:I59"/>
  <x:tableColumns count="9">
    <x:tableColumn id="1" name="Market"/>
    <x:tableColumn id="2" name="Account"/>
    <x:tableColumn id="3" name="Account_Type"/>
    <x:tableColumn id="4" name="P10_Budget_GBPm"/>
    <x:tableColumn id="5" name="P11_Budget_GBPm"/>
    <x:tableColumn id="6" name="P12_Budget_GBPm"/>
    <x:tableColumn id="7" name="Q4_Budget_Total_GBPm"/>
    <x:tableColumn id="8" name="Q3_Run_Rate_Var_Pct"/>
    <x:tableColumn id="9" name="Data_Classification"/>
  </x:tableColumns>
  <x:tableStyleInfo name="TableStyleLight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4c69efb183b40f7" /></Relationships>
</file>

<file path=xl/worksheets/_rels/sheet3.xml.rels>&#65279;<?xml version="1.0" encoding="utf-8"?><Relationships xmlns="http://schemas.openxmlformats.org/package/2006/relationships"><Relationship Type="http://schemas.openxmlformats.org/officeDocument/2006/relationships/table" Target="/xl/tables/table2.xml" Id="Rd90f3514897c4a6d" /></Relationships>
</file>

<file path=xl/worksheets/_rels/sheet4.xml.rels>&#65279;<?xml version="1.0" encoding="utf-8"?><Relationships xmlns="http://schemas.openxmlformats.org/package/2006/relationships"><Relationship Type="http://schemas.openxmlformats.org/officeDocument/2006/relationships/drawing" Target="/xl/drawings/drawing1.xml" Id="Rb0e89b0d155446b2" /></Relationships>
</file>

<file path=xl/worksheets/sheet1.xml><?xml version="1.0" encoding="utf-8"?>
<x:worksheet xmlns:x="http://schemas.openxmlformats.org/spreadsheetml/2006/main">
  <x:sheetFormatPr baseColWidth="8" defaultRowHeight="15"/>
  <x:cols>
    <x:col min="1" max="1" width="26" customWidth="1"/>
    <x:col min="2" max="2" width="110" customWidth="1"/>
    <x:col min="3" max="3" width="12" customWidth="1"/>
    <x:col min="4" max="4" width="4" customWidth="1"/>
  </x:cols>
  <x:sheetData>
    <x:row r="1">
      <x:c r="A1" s="1" t="inlineStr">
        <x:is>
          <x:t xml:space="preserve">BAT Monthly Performance Review - Q3 FY2026 (P07-P09)</x:t>
        </x:is>
      </x:c>
    </x:row>
    <x:row r="2">
      <x:c r="A2" s="2" t="inlineStr">
        <x:is>
          <x:t xml:space="preserve">Synthetic actual / budget / prior year / forecast dataset for the BAT Finance Copilot Immersion Experience</x:t>
        </x:is>
      </x:c>
    </x:row>
    <x:row r="3">
      <x:c r="A3" s="3" t="inlineStr">
        <x:is>
          <x:t xml:space="preserve">SYNTHETIC CIE TRAINING MATERIAL - Not official BAT information, policy, employee data, process, or findings.</x:t>
        </x:is>
      </x:c>
      <x:c r="B3" s="4" t="n"/>
      <x:c r="C3" s="4" t="n"/>
      <x:c r="D3" s="4" t="n"/>
    </x:row>
    <x:row r="5">
      <x:c r="A5" s="5" t="inlineStr">
        <x:is>
          <x:t xml:space="preserve">Purpose</x:t>
        </x:is>
      </x:c>
      <x:c r="B5" s="6" t="inlineStr">
        <x:is>
          <x:t xml:space="preserve">Practise variance analysis, forecast creation, commentary generation and management reporting with Microsoft 365 Copilot (Excel Copilot is mandatory in the lab).</x:t>
        </x:is>
      </x:c>
    </x:row>
    <x:row r="6">
      <x:c r="A6" s="5" t="inlineStr">
        <x:is>
          <x:t xml:space="preserve">Scenario</x:t>
        </x:is>
      </x:c>
      <x:c r="B6" s="6" t="inlineStr">
        <x:is>
          <x:t xml:space="preserve">Region Atlas (fictional) monthly management performance review: Q3 actuals differ from plan and the Q4 forecast must be refreshed before the Regional Performance Review.</x:t>
        </x:is>
      </x:c>
    </x:row>
    <x:row r="7">
      <x:c r="A7" s="5" t="inlineStr">
        <x:is>
          <x:t xml:space="preserve">Currency</x:t>
        </x:is>
      </x:c>
      <x:c r="B7" s="6" t="inlineStr">
        <x:is>
          <x:t xml:space="preserve">GBP m (synthetic units). No figure in this file is a real BAT financial, market or business result.</x:t>
        </x:is>
      </x:c>
    </x:row>
    <x:row r="8">
      <x:c r="A8" s="5" t="inlineStr">
        <x:is>
          <x:t xml:space="preserve">Markets</x:t>
        </x:is>
      </x:c>
      <x:c r="B8" s="6" t="inlineStr">
        <x:is>
          <x:t xml:space="preserve">Six fictional markets: Northmere, Eastvale, Southport, Westbrook, Centralis, Islemark. All names are fictional.</x:t>
        </x:is>
      </x:c>
    </x:row>
    <x:row r="9">
      <x:c r="A9" s="5" t="inlineStr">
        <x:is>
          <x:t xml:space="preserve">Sign convention</x:t>
        </x:is>
      </x:c>
      <x:c r="B9" s="6" t="inlineStr">
        <x:is>
          <x:t xml:space="preserve">Variance = Actual - Budget. For Cost lines a positive variance is UNFAVOURABLE. Use Profit_Impact_vs_Budget_GBPm (+ = good for profit) to aggregate across Revenue and Cost.</x:t>
        </x:is>
      </x:c>
    </x:row>
    <x:row r="10">
      <x:c r="A10" s="5" t="inlineStr">
        <x:is>
          <x:t xml:space="preserve">Commentary threshold</x:t>
        </x:is>
      </x:c>
      <x:c r="B10" s="6" t="inlineStr">
        <x:is>
          <x:t xml:space="preserve">Commentary is required when |variance| &gt;= GBP 0.5m AND |variance %| &gt;= 5% at market / account / month level (see BAT Management Reporting Framework_SYNTHETIC).</x:t>
        </x:is>
      </x:c>
    </x:row>
    <x:row r="11">
      <x:c r="A11" s="5" t="inlineStr">
        <x:is>
          <x:t xml:space="preserve">Provisional data</x:t>
        </x:is>
      </x:c>
      <x:c r="B11" s="6" t="inlineStr">
        <x:is>
          <x:t xml:space="preserve">Islemark P09 figures are 'Provisional estimate - not closed'. They must be labelled provisional and never presented as actuals.</x:t>
        </x:is>
      </x:c>
    </x:row>
    <x:row r="12">
      <x:c r="A12" s="5" t="inlineStr">
        <x:is>
          <x:t xml:space="preserve">Sheets</x:t>
        </x:is>
      </x:c>
      <x:c r="B12" s="6" t="inlineStr">
        <x:is>
          <x:t xml:space="preserve">Monthly_Performance (162 rows, Excel table tblPerformance) | Q4_Budget (54 rows, table tblQ4Budget, for forecast scenarios) | Facilitator_Summary (live formulas + answer key + charts) | Prompts (copy-ready Copilot prompts)</x:t>
        </x:is>
      </x:c>
    </x:row>
    <x:row r="13">
      <x:c r="A13" s="5" t="inlineStr">
        <x:is>
          <x:t xml:space="preserve">Data_Classification</x:t>
        </x:is>
      </x:c>
      <x:c r="B13" s="6" t="inlineStr">
        <x:is>
          <x:t xml:space="preserve">Synthetic - CIE training only. Generated with fixed random seed 20261016.</x:t>
        </x:is>
      </x:c>
    </x:row>
    <x:row r="14">
      <x:c r="A14" s="5" t="inlineStr">
        <x:is>
          <x:t xml:space="preserve">Not a policy source</x:t>
        </x:is>
      </x:c>
      <x:c r="B14" s="6" t="inlineStr">
        <x:is>
          <x:t xml:space="preserve">This workbook is analytical evidence only. Do NOT add it to the Agent Builder agent as a policy / knowledge source.</x:t>
        </x:is>
      </x:c>
    </x:row>
    <x:row r="16">
      <x:c r="A16" s="7" t="inlineStr">
        <x:is>
          <x:t xml:space="preserve">Column dictionary - sheet Monthly_Performance</x:t>
        </x:is>
      </x:c>
    </x:row>
    <x:row r="17">
      <x:c r="A17" s="8" t="inlineStr">
        <x:is>
          <x:t xml:space="preserve">Column</x:t>
        </x:is>
      </x:c>
      <x:c r="B17" s="8" t="inlineStr">
        <x:is>
          <x:t xml:space="preserve">Definition</x:t>
        </x:is>
      </x:c>
      <x:c r="C17" s="8" t="inlineStr">
        <x:is>
          <x:t xml:space="preserve">Type</x:t>
        </x:is>
      </x:c>
    </x:row>
    <x:row r="18">
      <x:c r="A18" t="inlineStr">
        <x:is>
          <x:t xml:space="preserve">Row_ID</x:t>
        </x:is>
      </x:c>
      <x:c r="B18" s="9" t="inlineStr">
        <x:is>
          <x:t xml:space="preserve">Unique synthetic row key (FIN-0001...)</x:t>
        </x:is>
      </x:c>
      <x:c r="C18" t="inlineStr">
        <x:is>
          <x:t xml:space="preserve">Text</x:t>
        </x:is>
      </x:c>
    </x:row>
    <x:row r="19">
      <x:c r="A19" t="inlineStr">
        <x:is>
          <x:t xml:space="preserve">Period</x:t>
        </x:is>
      </x:c>
      <x:c r="B19" s="9" t="inlineStr">
        <x:is>
          <x:t xml:space="preserve">Fiscal month (P07 Jul-2026 to P09 Sep-2026) - Q3 of the synthetic FY2026</x:t>
        </x:is>
      </x:c>
      <x:c r="C19" t="inlineStr">
        <x:is>
          <x:t xml:space="preserve">Text</x:t>
        </x:is>
      </x:c>
    </x:row>
    <x:row r="20">
      <x:c r="A20" t="inlineStr">
        <x:is>
          <x:t xml:space="preserve">Period_End</x:t>
        </x:is>
      </x:c>
      <x:c r="B20" s="9" t="inlineStr">
        <x:is>
          <x:t xml:space="preserve">Month-end date</x:t>
        </x:is>
      </x:c>
      <x:c r="C20" t="inlineStr">
        <x:is>
          <x:t xml:space="preserve">Date</x:t>
        </x:is>
      </x:c>
    </x:row>
    <x:row r="21">
      <x:c r="A21" t="inlineStr">
        <x:is>
          <x:t xml:space="preserve">Region</x:t>
        </x:is>
      </x:c>
      <x:c r="B21" s="9" t="inlineStr">
        <x:is>
          <x:t xml:space="preserve">Fictional reporting region (Region Atlas)</x:t>
        </x:is>
      </x:c>
      <x:c r="C21" t="inlineStr">
        <x:is>
          <x:t xml:space="preserve">Text</x:t>
        </x:is>
      </x:c>
    </x:row>
    <x:row r="22">
      <x:c r="A22" t="inlineStr">
        <x:is>
          <x:t xml:space="preserve">Market</x:t>
        </x:is>
      </x:c>
      <x:c r="B22" s="9" t="inlineStr">
        <x:is>
          <x:t xml:space="preserve">Fictional market name (Northmere, Eastvale, Southport, Westbrook, Centralis, Islemark)</x:t>
        </x:is>
      </x:c>
      <x:c r="C22" t="inlineStr">
        <x:is>
          <x:t xml:space="preserve">Text</x:t>
        </x:is>
      </x:c>
    </x:row>
    <x:row r="23">
      <x:c r="A23" t="inlineStr">
        <x:is>
          <x:t xml:space="preserve">Function</x:t>
        </x:is>
      </x:c>
      <x:c r="B23" s="9" t="inlineStr">
        <x:is>
          <x:t xml:space="preserve">Owning function for the account line</x:t>
        </x:is>
      </x:c>
      <x:c r="C23" t="inlineStr">
        <x:is>
          <x:t xml:space="preserve">Text</x:t>
        </x:is>
      </x:c>
    </x:row>
    <x:row r="24">
      <x:c r="A24" t="inlineStr">
        <x:is>
          <x:t xml:space="preserve">Cost_Center</x:t>
        </x:is>
      </x:c>
      <x:c r="B24" s="9" t="inlineStr">
        <x:is>
          <x:t xml:space="preserve">Fictional cost centre code (market prefix + function code)</x:t>
        </x:is>
      </x:c>
      <x:c r="C24" t="inlineStr">
        <x:is>
          <x:t xml:space="preserve">Text</x:t>
        </x:is>
      </x:c>
    </x:row>
    <x:row r="25">
      <x:c r="A25" t="inlineStr">
        <x:is>
          <x:t xml:space="preserve">Account</x:t>
        </x:is>
      </x:c>
      <x:c r="B25" s="9" t="inlineStr">
        <x:is>
          <x:t xml:space="preserve">Management P&amp;L line</x:t>
        </x:is>
      </x:c>
      <x:c r="C25" t="inlineStr">
        <x:is>
          <x:t xml:space="preserve">Text</x:t>
        </x:is>
      </x:c>
    </x:row>
    <x:row r="26">
      <x:c r="A26" t="inlineStr">
        <x:is>
          <x:t xml:space="preserve">Account_Type</x:t>
        </x:is>
      </x:c>
      <x:c r="B26" s="9" t="inlineStr">
        <x:is>
          <x:t xml:space="preserve">Revenue or Cost - drives the favourable/unfavourable sign logic</x:t>
        </x:is>
      </x:c>
      <x:c r="C26" t="inlineStr">
        <x:is>
          <x:t xml:space="preserve">Text</x:t>
        </x:is>
      </x:c>
    </x:row>
    <x:row r="27">
      <x:c r="A27" t="inlineStr">
        <x:is>
          <x:t xml:space="preserve">Actual_GBPm</x:t>
        </x:is>
      </x:c>
      <x:c r="B27" s="9" t="inlineStr">
        <x:is>
          <x:t xml:space="preserve">Month actual in GBP m (synthetic units - not real BAT figures)</x:t>
        </x:is>
      </x:c>
      <x:c r="C27" t="inlineStr">
        <x:is>
          <x:t xml:space="preserve">Number</x:t>
        </x:is>
      </x:c>
    </x:row>
    <x:row r="28">
      <x:c r="A28" t="inlineStr">
        <x:is>
          <x:t xml:space="preserve">Budget_GBPm</x:t>
        </x:is>
      </x:c>
      <x:c r="B28" s="9" t="inlineStr">
        <x:is>
          <x:t xml:space="preserve">Approved FY2026 budget phased by month (synthetic)</x:t>
        </x:is>
      </x:c>
      <x:c r="C28" t="inlineStr">
        <x:is>
          <x:t xml:space="preserve">Number</x:t>
        </x:is>
      </x:c>
    </x:row>
    <x:row r="29">
      <x:c r="A29" t="inlineStr">
        <x:is>
          <x:t xml:space="preserve">Prior_Year_GBPm</x:t>
        </x:is>
      </x:c>
      <x:c r="B29" s="9" t="inlineStr">
        <x:is>
          <x:t xml:space="preserve">Same month prior year actual (synthetic)</x:t>
        </x:is>
      </x:c>
      <x:c r="C29" t="inlineStr">
        <x:is>
          <x:t xml:space="preserve">Number</x:t>
        </x:is>
      </x:c>
    </x:row>
    <x:row r="30">
      <x:c r="A30" t="inlineStr">
        <x:is>
          <x:t xml:space="preserve">Current_Forecast_GBPm</x:t>
        </x:is>
      </x:c>
      <x:c r="B30" s="9" t="inlineStr">
        <x:is>
          <x:t xml:space="preserve">Latest forecast for the month from the Q2 forecast cycle (synthetic)</x:t>
        </x:is>
      </x:c>
      <x:c r="C30" t="inlineStr">
        <x:is>
          <x:t xml:space="preserve">Number</x:t>
        </x:is>
      </x:c>
    </x:row>
    <x:row r="31">
      <x:c r="A31" t="inlineStr">
        <x:is>
          <x:t xml:space="preserve">Var_vs_Budget_GBPm</x:t>
        </x:is>
      </x:c>
      <x:c r="B31" s="9" t="inlineStr">
        <x:is>
          <x:t xml:space="preserve">FORMULA = Actual - Budget</x:t>
        </x:is>
      </x:c>
      <x:c r="C31" t="inlineStr">
        <x:is>
          <x:t xml:space="preserve">Formula</x:t>
        </x:is>
      </x:c>
    </x:row>
    <x:row r="32">
      <x:c r="A32" t="inlineStr">
        <x:is>
          <x:t xml:space="preserve">Var_vs_Budget_Pct</x:t>
        </x:is>
      </x:c>
      <x:c r="B32" s="9" t="inlineStr">
        <x:is>
          <x:t xml:space="preserve">FORMULA = Var vs Budget / Budget</x:t>
        </x:is>
      </x:c>
      <x:c r="C32" t="inlineStr">
        <x:is>
          <x:t xml:space="preserve">Formula</x:t>
        </x:is>
      </x:c>
    </x:row>
    <x:row r="33">
      <x:c r="A33" t="inlineStr">
        <x:is>
          <x:t xml:space="preserve">Var_vs_PY_GBPm</x:t>
        </x:is>
      </x:c>
      <x:c r="B33" s="9" t="inlineStr">
        <x:is>
          <x:t xml:space="preserve">FORMULA = Actual - Prior Year</x:t>
        </x:is>
      </x:c>
      <x:c r="C33" t="inlineStr">
        <x:is>
          <x:t xml:space="preserve">Formula</x:t>
        </x:is>
      </x:c>
    </x:row>
    <x:row r="34">
      <x:c r="A34" t="inlineStr">
        <x:is>
          <x:t xml:space="preserve">Var_vs_PY_Pct</x:t>
        </x:is>
      </x:c>
      <x:c r="B34" s="9" t="inlineStr">
        <x:is>
          <x:t xml:space="preserve">FORMULA = Var vs PY / Prior Year</x:t>
        </x:is>
      </x:c>
      <x:c r="C34" t="inlineStr">
        <x:is>
          <x:t xml:space="preserve">Formula</x:t>
        </x:is>
      </x:c>
    </x:row>
    <x:row r="35">
      <x:c r="A35" t="inlineStr">
        <x:is>
          <x:t xml:space="preserve">Var_vs_Forecast_GBPm</x:t>
        </x:is>
      </x:c>
      <x:c r="B35" s="9" t="inlineStr">
        <x:is>
          <x:t xml:space="preserve">FORMULA = Actual - Current Forecast</x:t>
        </x:is>
      </x:c>
      <x:c r="C35" t="inlineStr">
        <x:is>
          <x:t xml:space="preserve">Formula</x:t>
        </x:is>
      </x:c>
    </x:row>
    <x:row r="36">
      <x:c r="A36" t="inlineStr">
        <x:is>
          <x:t xml:space="preserve">Profit_Impact_vs_Budget_GBPm</x:t>
        </x:is>
      </x:c>
      <x:c r="B36" s="9" t="inlineStr">
        <x:is>
          <x:t xml:space="preserve">FORMULA = variance signed for profit: Revenue keeps sign, Cost is reversed (+ = good for profit)</x:t>
        </x:is>
      </x:c>
      <x:c r="C36" t="inlineStr">
        <x:is>
          <x:t xml:space="preserve">Formula</x:t>
        </x:is>
      </x:c>
    </x:row>
    <x:row r="37">
      <x:c r="A37" t="inlineStr">
        <x:is>
          <x:t xml:space="preserve">Fav_Unfav_Flag</x:t>
        </x:is>
      </x:c>
      <x:c r="B37" s="9" t="inlineStr">
        <x:is>
          <x:t xml:space="preserve">FORMULA = Favourable if Profit Impact &gt;= 0, else Unfavourable</x:t>
        </x:is>
      </x:c>
      <x:c r="C37" t="inlineStr">
        <x:is>
          <x:t xml:space="preserve">Formula</x:t>
        </x:is>
      </x:c>
    </x:row>
    <x:row r="38">
      <x:c r="A38" t="inlineStr">
        <x:is>
          <x:t xml:space="preserve">Volume_Driver_GBPm</x:t>
        </x:is>
      </x:c>
      <x:c r="B38" s="9" t="inlineStr">
        <x:is>
          <x:t xml:space="preserve">Part of Var vs Budget explained by volume</x:t>
        </x:is>
      </x:c>
      <x:c r="C38" t="inlineStr">
        <x:is>
          <x:t xml:space="preserve">Number</x:t>
        </x:is>
      </x:c>
    </x:row>
    <x:row r="39">
      <x:c r="A39" t="inlineStr">
        <x:is>
          <x:t xml:space="preserve">Price_Mix_Driver_GBPm</x:t>
        </x:is>
      </x:c>
      <x:c r="B39" s="9" t="inlineStr">
        <x:is>
          <x:t xml:space="preserve">Part of Var vs Budget explained by price / mix / rate</x:t>
        </x:is>
      </x:c>
      <x:c r="C39" t="inlineStr">
        <x:is>
          <x:t xml:space="preserve">Number</x:t>
        </x:is>
      </x:c>
    </x:row>
    <x:row r="40">
      <x:c r="A40" t="inlineStr">
        <x:is>
          <x:t xml:space="preserve">FX_Driver_GBPm</x:t>
        </x:is>
      </x:c>
      <x:c r="B40" s="9" t="inlineStr">
        <x:is>
          <x:t xml:space="preserve">Part of Var vs Budget explained by currency translation vs budget rate</x:t>
        </x:is>
      </x:c>
      <x:c r="C40" t="inlineStr">
        <x:is>
          <x:t xml:space="preserve">Number</x:t>
        </x:is>
      </x:c>
    </x:row>
    <x:row r="41">
      <x:c r="A41" t="inlineStr">
        <x:is>
          <x:t xml:space="preserve">Timing_Driver_GBPm</x:t>
        </x:is>
      </x:c>
      <x:c r="B41" s="9" t="inlineStr">
        <x:is>
          <x:t xml:space="preserve">Part of Var vs Budget explained by phasing (expected to reverse)</x:t>
        </x:is>
      </x:c>
      <x:c r="C41" t="inlineStr">
        <x:is>
          <x:t xml:space="preserve">Number</x:t>
        </x:is>
      </x:c>
    </x:row>
    <x:row r="42">
      <x:c r="A42" t="inlineStr">
        <x:is>
          <x:t xml:space="preserve">Driver_Check_GBPm</x:t>
        </x:is>
      </x:c>
      <x:c r="B42" s="9" t="inlineStr">
        <x:is>
          <x:t xml:space="preserve">FORMULA = sum of four drivers - Var vs Budget (should be 0.00 +/- 0.01)</x:t>
        </x:is>
      </x:c>
      <x:c r="C42" t="inlineStr">
        <x:is>
          <x:t xml:space="preserve">Formula</x:t>
        </x:is>
      </x:c>
    </x:row>
    <x:row r="43">
      <x:c r="A43" t="inlineStr">
        <x:is>
          <x:t xml:space="preserve">Commentary_Required</x:t>
        </x:is>
      </x:c>
      <x:c r="B43" s="9" t="inlineStr">
        <x:is>
          <x:t xml:space="preserve">FORMULA = Yes when |Var vs Budget| &gt;= GBP 0.5m AND |Var %| &gt;= 5% (Management Reporting Framework threshold)</x:t>
        </x:is>
      </x:c>
      <x:c r="C43" t="inlineStr">
        <x:is>
          <x:t xml:space="preserve">Formula</x:t>
        </x:is>
      </x:c>
    </x:row>
    <x:row r="44">
      <x:c r="A44" t="inlineStr">
        <x:is>
          <x:t xml:space="preserve">Actual_Status</x:t>
        </x:is>
      </x:c>
      <x:c r="B44" s="9" t="inlineStr">
        <x:is>
          <x:t xml:space="preserve">Closed actual, or Provisional estimate - not closed (must not be reported as actual)</x:t>
        </x:is>
      </x:c>
      <x:c r="C44" t="inlineStr">
        <x:is>
          <x:t xml:space="preserve">Text</x:t>
        </x:is>
      </x:c>
    </x:row>
    <x:row r="45">
      <x:c r="A45" t="inlineStr">
        <x:is>
          <x:t xml:space="preserve">Risk</x:t>
        </x:is>
      </x:c>
      <x:c r="B45" s="9" t="inlineStr">
        <x:is>
          <x:t xml:space="preserve">Synthetic risk note (fictional)</x:t>
        </x:is>
      </x:c>
      <x:c r="C45" t="inlineStr">
        <x:is>
          <x:t xml:space="preserve">Text</x:t>
        </x:is>
      </x:c>
    </x:row>
    <x:row r="46">
      <x:c r="A46" t="inlineStr">
        <x:is>
          <x:t xml:space="preserve">Opportunity</x:t>
        </x:is>
      </x:c>
      <x:c r="B46" s="9" t="inlineStr">
        <x:is>
          <x:t xml:space="preserve">Synthetic opportunity note (fictional)</x:t>
        </x:is>
      </x:c>
      <x:c r="C46" t="inlineStr">
        <x:is>
          <x:t xml:space="preserve">Text</x:t>
        </x:is>
      </x:c>
    </x:row>
    <x:row r="47">
      <x:c r="A47" t="inlineStr">
        <x:is>
          <x:t xml:space="preserve">Data_Classification</x:t>
        </x:is>
      </x:c>
      <x:c r="B47" s="9" t="inlineStr">
        <x:is>
          <x:t xml:space="preserve">Always 'Synthetic - CIE training only'</x:t>
        </x:is>
      </x:c>
      <x:c r="C47" t="inlineStr">
        <x:is>
          <x:t xml:space="preserve">Text</x:t>
        </x:is>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11" customWidth="1"/>
    <x:col min="2" max="2" width="14" customWidth="1"/>
    <x:col min="3" max="3" width="12" customWidth="1"/>
    <x:col min="4" max="4" width="13" customWidth="1"/>
    <x:col min="5" max="5" width="12" customWidth="1"/>
    <x:col min="6" max="6" width="13" customWidth="1"/>
    <x:col min="7" max="7" width="13" customWidth="1"/>
    <x:col min="8" max="8" width="26" customWidth="1"/>
    <x:col min="9" max="9" width="12" customWidth="1"/>
    <x:col min="10" max="10" width="11" customWidth="1"/>
    <x:col min="11" max="11" width="11" customWidth="1"/>
    <x:col min="12" max="12" width="11" customWidth="1"/>
    <x:col min="13" max="13" width="12" customWidth="1"/>
    <x:col min="14" max="14" width="12" customWidth="1"/>
    <x:col min="15" max="15" width="11" customWidth="1"/>
    <x:col min="16" max="16" width="11" customWidth="1"/>
    <x:col min="17" max="17" width="10" customWidth="1"/>
    <x:col min="18" max="18" width="12" customWidth="1"/>
    <x:col min="19" max="19" width="13" customWidth="1"/>
    <x:col min="20" max="20" width="14" customWidth="1"/>
    <x:col min="21" max="21" width="11" customWidth="1"/>
    <x:col min="22" max="22" width="11" customWidth="1"/>
    <x:col min="23" max="23" width="11" customWidth="1"/>
    <x:col min="24" max="24" width="11" customWidth="1"/>
    <x:col min="25" max="25" width="10" customWidth="1"/>
    <x:col min="26" max="26" width="12" customWidth="1"/>
    <x:col min="27" max="27" width="26" customWidth="1"/>
    <x:col min="28" max="28" width="48" customWidth="1"/>
    <x:col min="29" max="29" width="44" customWidth="1"/>
    <x:col min="30" max="30" width="26" customWidth="1"/>
  </x:cols>
  <x:sheetData>
    <x:row r="1">
      <x:c r="A1" s="1" t="inlineStr">
        <x:is>
          <x:t xml:space="preserve">Monthly_Performance - Region Atlas, P07-P09 FY2026 (GBP m, synthetic)</x:t>
        </x:is>
      </x:c>
    </x:row>
    <x:row r="2">
      <x:c r="A2" s="2" t="inlineStr">
        <x:is>
          <x:t xml:space="preserve">One row per period x market x account. Variance, flag, driver-check and commentary columns are live formulas.</x:t>
        </x:is>
      </x:c>
    </x:row>
    <x:row r="3">
      <x:c r="A3" s="3" t="inlineStr">
        <x:is>
          <x:t xml:space="preserve">SYNTHETIC CIE TRAINING MATERIAL - Not official BAT information, policy, employee data, process, or findings.</x:t>
        </x:is>
      </x:c>
      <x:c r="B3" s="4" t="n"/>
      <x:c r="C3" s="4" t="n"/>
      <x:c r="D3" s="4" t="n"/>
      <x:c r="E3" s="4" t="n"/>
      <x:c r="F3" s="4" t="n"/>
      <x:c r="G3" s="4" t="n"/>
      <x:c r="H3" s="4" t="n"/>
      <x:c r="I3" s="4" t="n"/>
      <x:c r="J3" s="4" t="n"/>
      <x:c r="K3" s="4" t="n"/>
      <x:c r="L3" s="4" t="n"/>
      <x:c r="M3" s="4" t="n"/>
      <x:c r="N3" s="4" t="n"/>
      <x:c r="O3" s="4" t="n"/>
      <x:c r="P3" s="4" t="n"/>
      <x:c r="Q3" s="4" t="n"/>
      <x:c r="R3" s="4" t="n"/>
      <x:c r="S3" s="4" t="n"/>
      <x:c r="T3" s="4" t="n"/>
      <x:c r="U3" s="4" t="n"/>
      <x:c r="V3" s="4" t="n"/>
      <x:c r="W3" s="4" t="n"/>
      <x:c r="X3" s="4" t="n"/>
      <x:c r="Y3" s="4" t="n"/>
      <x:c r="Z3" s="4" t="n"/>
      <x:c r="AA3" s="4" t="n"/>
      <x:c r="AB3" s="4" t="n"/>
      <x:c r="AC3" s="4" t="n"/>
      <x:c r="AD3" s="4" t="n"/>
    </x:row>
    <x:row r="5">
      <x:c r="A5" s="8" t="inlineStr">
        <x:is>
          <x:t xml:space="preserve">Row_ID</x:t>
        </x:is>
      </x:c>
      <x:c r="B5" s="8" t="inlineStr">
        <x:is>
          <x:t xml:space="preserve">Period</x:t>
        </x:is>
      </x:c>
      <x:c r="C5" s="8" t="inlineStr">
        <x:is>
          <x:t xml:space="preserve">Period_End</x:t>
        </x:is>
      </x:c>
      <x:c r="D5" s="8" t="inlineStr">
        <x:is>
          <x:t xml:space="preserve">Region</x:t>
        </x:is>
      </x:c>
      <x:c r="E5" s="8" t="inlineStr">
        <x:is>
          <x:t xml:space="preserve">Market</x:t>
        </x:is>
      </x:c>
      <x:c r="F5" s="8" t="inlineStr">
        <x:is>
          <x:t xml:space="preserve">Function</x:t>
        </x:is>
      </x:c>
      <x:c r="G5" s="8" t="inlineStr">
        <x:is>
          <x:t xml:space="preserve">Cost_Center</x:t>
        </x:is>
      </x:c>
      <x:c r="H5" s="8" t="inlineStr">
        <x:is>
          <x:t xml:space="preserve">Account</x:t>
        </x:is>
      </x:c>
      <x:c r="I5" s="8" t="inlineStr">
        <x:is>
          <x:t xml:space="preserve">Account_Type</x:t>
        </x:is>
      </x:c>
      <x:c r="J5" s="8" t="inlineStr">
        <x:is>
          <x:t xml:space="preserve">Actual_GBPm</x:t>
        </x:is>
      </x:c>
      <x:c r="K5" s="8" t="inlineStr">
        <x:is>
          <x:t xml:space="preserve">Budget_GBPm</x:t>
        </x:is>
      </x:c>
      <x:c r="L5" s="8" t="inlineStr">
        <x:is>
          <x:t xml:space="preserve">Prior_Year_GBPm</x:t>
        </x:is>
      </x:c>
      <x:c r="M5" s="8" t="inlineStr">
        <x:is>
          <x:t xml:space="preserve">Current_Forecast_GBPm</x:t>
        </x:is>
      </x:c>
      <x:c r="N5" s="8" t="inlineStr">
        <x:is>
          <x:t xml:space="preserve">Var_vs_Budget_GBPm</x:t>
        </x:is>
      </x:c>
      <x:c r="O5" s="8" t="inlineStr">
        <x:is>
          <x:t xml:space="preserve">Var_vs_Budget_Pct</x:t>
        </x:is>
      </x:c>
      <x:c r="P5" s="8" t="inlineStr">
        <x:is>
          <x:t xml:space="preserve">Var_vs_PY_GBPm</x:t>
        </x:is>
      </x:c>
      <x:c r="Q5" s="8" t="inlineStr">
        <x:is>
          <x:t xml:space="preserve">Var_vs_PY_Pct</x:t>
        </x:is>
      </x:c>
      <x:c r="R5" s="8" t="inlineStr">
        <x:is>
          <x:t xml:space="preserve">Var_vs_Forecast_GBPm</x:t>
        </x:is>
      </x:c>
      <x:c r="S5" s="8" t="inlineStr">
        <x:is>
          <x:t xml:space="preserve">Profit_Impact_vs_Budget_GBPm</x:t>
        </x:is>
      </x:c>
      <x:c r="T5" s="8" t="inlineStr">
        <x:is>
          <x:t xml:space="preserve">Fav_Unfav_Flag</x:t>
        </x:is>
      </x:c>
      <x:c r="U5" s="8" t="inlineStr">
        <x:is>
          <x:t xml:space="preserve">Volume_Driver_GBPm</x:t>
        </x:is>
      </x:c>
      <x:c r="V5" s="8" t="inlineStr">
        <x:is>
          <x:t xml:space="preserve">Price_Mix_Driver_GBPm</x:t>
        </x:is>
      </x:c>
      <x:c r="W5" s="8" t="inlineStr">
        <x:is>
          <x:t xml:space="preserve">FX_Driver_GBPm</x:t>
        </x:is>
      </x:c>
      <x:c r="X5" s="8" t="inlineStr">
        <x:is>
          <x:t xml:space="preserve">Timing_Driver_GBPm</x:t>
        </x:is>
      </x:c>
      <x:c r="Y5" s="8" t="inlineStr">
        <x:is>
          <x:t xml:space="preserve">Driver_Check_GBPm</x:t>
        </x:is>
      </x:c>
      <x:c r="Z5" s="8" t="inlineStr">
        <x:is>
          <x:t xml:space="preserve">Commentary_Required</x:t>
        </x:is>
      </x:c>
      <x:c r="AA5" s="8" t="inlineStr">
        <x:is>
          <x:t xml:space="preserve">Actual_Status</x:t>
        </x:is>
      </x:c>
      <x:c r="AB5" s="8" t="inlineStr">
        <x:is>
          <x:t xml:space="preserve">Risk</x:t>
        </x:is>
      </x:c>
      <x:c r="AC5" s="8" t="inlineStr">
        <x:is>
          <x:t xml:space="preserve">Opportunity</x:t>
        </x:is>
      </x:c>
      <x:c r="AD5" s="8" t="inlineStr">
        <x:is>
          <x:t xml:space="preserve">Data_Classification</x:t>
        </x:is>
      </x:c>
    </x:row>
    <x:row r="6">
      <x:c r="A6" t="inlineStr">
        <x:is>
          <x:t xml:space="preserve">FIN-0001</x:t>
        </x:is>
      </x:c>
      <x:c r="B6" t="inlineStr">
        <x:is>
          <x:t xml:space="preserve">P07 Jul-2026</x:t>
        </x:is>
      </x:c>
      <x:c r="C6" s="10" t="n">
        <x:v>46234</x:v>
      </x:c>
      <x:c r="D6" t="inlineStr">
        <x:is>
          <x:t xml:space="preserve">Region Atlas</x:t>
        </x:is>
      </x:c>
      <x:c r="E6" t="inlineStr">
        <x:is>
          <x:t xml:space="preserve">Northmere</x:t>
        </x:is>
      </x:c>
      <x:c r="F6" t="inlineStr">
        <x:is>
          <x:t xml:space="preserve">Commercial</x:t>
        </x:is>
      </x:c>
      <x:c r="G6" t="inlineStr">
        <x:is>
          <x:t xml:space="preserve">NM-COM-100</x:t>
        </x:is>
      </x:c>
      <x:c r="H6" t="inlineStr">
        <x:is>
          <x:t xml:space="preserve">Net Revenue</x:t>
        </x:is>
      </x:c>
      <x:c r="I6" t="inlineStr">
        <x:is>
          <x:t xml:space="preserve">Revenue</x:t>
        </x:is>
      </x:c>
      <x:c r="J6" s="11" t="n">
        <x:v>76</x:v>
      </x:c>
      <x:c r="K6" s="11" t="n">
        <x:v>74.78</x:v>
      </x:c>
      <x:c r="L6" s="11" t="n">
        <x:v>72.01000000000001</x:v>
      </x:c>
      <x:c r="M6" s="11" t="n">
        <x:v>75.26000000000001</x:v>
      </x:c>
      <x:c r="N6" s="11">
        <x:f>J6-K6</x:f>
      </x:c>
      <x:c r="O6" s="12">
        <x:f>IF(K6=0,0,N6/K6)</x:f>
      </x:c>
      <x:c r="P6" s="11">
        <x:f>J6-L6</x:f>
      </x:c>
      <x:c r="Q6" s="12">
        <x:f>IF(L6=0,0,P6/L6)</x:f>
      </x:c>
      <x:c r="R6" s="11">
        <x:f>J6-M6</x:f>
      </x:c>
      <x:c r="S6" s="11">
        <x:f>IF(I6="Revenue",N6,-N6)</x:f>
      </x:c>
      <x:c r="T6">
        <x:f>IF(S6&gt;=0,"Favourable","Unfavourable")</x:f>
      </x:c>
      <x:c r="U6" s="11" t="n">
        <x:v>-1.12</x:v>
      </x:c>
      <x:c r="V6" s="11" t="n">
        <x:v>3.56</x:v>
      </x:c>
      <x:c r="W6" s="11" t="n">
        <x:v>-0.86</x:v>
      </x:c>
      <x:c r="X6" s="11" t="n">
        <x:v>-0.36</x:v>
      </x:c>
      <x:c r="Y6" s="11">
        <x:f>ROUND(U6+V6+W6+X6-N6,2)</x:f>
      </x:c>
      <x:c r="Z6">
        <x:f>IF(AND(ABS(ROUND(N6,2))&gt;=0.5,ABS(O6)&gt;=0.05),"Yes","No")</x:f>
      </x:c>
      <x:c r="AA6" t="inlineStr">
        <x:is>
          <x:t xml:space="preserve">Closed actual</x:t>
        </x:is>
      </x:c>
      <x:c r="AB6" t="inlineStr">
        <x:is>
          <x:t xml:space="preserve"/>
        </x:is>
      </x:c>
      <x:c r="AC6" t="inlineStr">
        <x:is>
          <x:t xml:space="preserve">Favourable price/mix from premium portfolio (synthetic); sustainability to be validated</x:t>
        </x:is>
      </x:c>
      <x:c r="AD6" t="inlineStr">
        <x:is>
          <x:t xml:space="preserve">Synthetic - CIE training only</x:t>
        </x:is>
      </x:c>
    </x:row>
    <x:row r="7">
      <x:c r="A7" t="inlineStr">
        <x:is>
          <x:t xml:space="preserve">FIN-0002</x:t>
        </x:is>
      </x:c>
      <x:c r="B7" t="inlineStr">
        <x:is>
          <x:t xml:space="preserve">P07 Jul-2026</x:t>
        </x:is>
      </x:c>
      <x:c r="C7" s="10" t="n">
        <x:v>46234</x:v>
      </x:c>
      <x:c r="D7" t="inlineStr">
        <x:is>
          <x:t xml:space="preserve">Region Atlas</x:t>
        </x:is>
      </x:c>
      <x:c r="E7" t="inlineStr">
        <x:is>
          <x:t xml:space="preserve">Northmere</x:t>
        </x:is>
      </x:c>
      <x:c r="F7" t="inlineStr">
        <x:is>
          <x:t xml:space="preserve">Finance</x:t>
        </x:is>
      </x:c>
      <x:c r="G7" t="inlineStr">
        <x:is>
          <x:t xml:space="preserve">NM-FIN-900</x:t>
        </x:is>
      </x:c>
      <x:c r="H7" t="inlineStr">
        <x:is>
          <x:t xml:space="preserve">Other Operating Income</x:t>
        </x:is>
      </x:c>
      <x:c r="I7" t="inlineStr">
        <x:is>
          <x:t xml:space="preserve">Revenue</x:t>
        </x:is>
      </x:c>
      <x:c r="J7" s="11" t="n">
        <x:v>1.88</x:v>
      </x:c>
      <x:c r="K7" s="11" t="n">
        <x:v>1.9</x:v>
      </x:c>
      <x:c r="L7" s="11" t="n">
        <x:v>1.82</x:v>
      </x:c>
      <x:c r="M7" s="11" t="n">
        <x:v>1.87</x:v>
      </x:c>
      <x:c r="N7" s="11">
        <x:f>J7-K7</x:f>
      </x:c>
      <x:c r="O7" s="12">
        <x:f>IF(K7=0,0,N7/K7)</x:f>
      </x:c>
      <x:c r="P7" s="11">
        <x:f>J7-L7</x:f>
      </x:c>
      <x:c r="Q7" s="12">
        <x:f>IF(L7=0,0,P7/L7)</x:f>
      </x:c>
      <x:c r="R7" s="11">
        <x:f>J7-M7</x:f>
      </x:c>
      <x:c r="S7" s="11">
        <x:f>IF(I7="Revenue",N7,-N7)</x:f>
      </x:c>
      <x:c r="T7">
        <x:f>IF(S7&gt;=0,"Favourable","Unfavourable")</x:f>
      </x:c>
      <x:c r="U7" s="11" t="n">
        <x:v>-0.03</x:v>
      </x:c>
      <x:c r="V7" s="11" t="n">
        <x:v>-0.02</x:v>
      </x:c>
      <x:c r="W7" s="11" t="n">
        <x:v>0.03</x:v>
      </x:c>
      <x:c r="X7" s="11" t="n">
        <x:v>0</x:v>
      </x:c>
      <x:c r="Y7" s="11">
        <x:f>ROUND(U7+V7+W7+X7-N7,2)</x:f>
      </x:c>
      <x:c r="Z7">
        <x:f>IF(AND(ABS(ROUND(N7,2))&gt;=0.5,ABS(O7)&gt;=0.05),"Yes","No")</x:f>
      </x:c>
      <x:c r="AA7" t="inlineStr">
        <x:is>
          <x:t xml:space="preserve">Closed actual</x:t>
        </x:is>
      </x:c>
      <x:c r="AB7" t="inlineStr">
        <x:is>
          <x:t xml:space="preserve"/>
        </x:is>
      </x:c>
      <x:c r="AC7" t="inlineStr">
        <x:is>
          <x:t xml:space="preserve"/>
        </x:is>
      </x:c>
      <x:c r="AD7" t="inlineStr">
        <x:is>
          <x:t xml:space="preserve">Synthetic - CIE training only</x:t>
        </x:is>
      </x:c>
    </x:row>
    <x:row r="8">
      <x:c r="A8" t="inlineStr">
        <x:is>
          <x:t xml:space="preserve">FIN-0003</x:t>
        </x:is>
      </x:c>
      <x:c r="B8" t="inlineStr">
        <x:is>
          <x:t xml:space="preserve">P07 Jul-2026</x:t>
        </x:is>
      </x:c>
      <x:c r="C8" s="10" t="n">
        <x:v>46234</x:v>
      </x:c>
      <x:c r="D8" t="inlineStr">
        <x:is>
          <x:t xml:space="preserve">Region Atlas</x:t>
        </x:is>
      </x:c>
      <x:c r="E8" t="inlineStr">
        <x:is>
          <x:t xml:space="preserve">Northmere</x:t>
        </x:is>
      </x:c>
      <x:c r="F8" t="inlineStr">
        <x:is>
          <x:t xml:space="preserve">Operations</x:t>
        </x:is>
      </x:c>
      <x:c r="G8" t="inlineStr">
        <x:is>
          <x:t xml:space="preserve">NM-OPS-200</x:t>
        </x:is>
      </x:c>
      <x:c r="H8" t="inlineStr">
        <x:is>
          <x:t xml:space="preserve">Cost of Goods Sold</x:t>
        </x:is>
      </x:c>
      <x:c r="I8" t="inlineStr">
        <x:is>
          <x:t xml:space="preserve">Cost</x:t>
        </x:is>
      </x:c>
      <x:c r="J8" s="11" t="n">
        <x:v>26.44</x:v>
      </x:c>
      <x:c r="K8" s="11" t="n">
        <x:v>27.33</x:v>
      </x:c>
      <x:c r="L8" s="11" t="n">
        <x:v>26.59</x:v>
      </x:c>
      <x:c r="M8" s="11" t="n">
        <x:v>26.45</x:v>
      </x:c>
      <x:c r="N8" s="11">
        <x:f>J8-K8</x:f>
      </x:c>
      <x:c r="O8" s="12">
        <x:f>IF(K8=0,0,N8/K8)</x:f>
      </x:c>
      <x:c r="P8" s="11">
        <x:f>J8-L8</x:f>
      </x:c>
      <x:c r="Q8" s="12">
        <x:f>IF(L8=0,0,P8/L8)</x:f>
      </x:c>
      <x:c r="R8" s="11">
        <x:f>J8-M8</x:f>
      </x:c>
      <x:c r="S8" s="11">
        <x:f>IF(I8="Revenue",N8,-N8)</x:f>
      </x:c>
      <x:c r="T8">
        <x:f>IF(S8&gt;=0,"Favourable","Unfavourable")</x:f>
      </x:c>
      <x:c r="U8" s="11" t="n">
        <x:v>-0.95</x:v>
      </x:c>
      <x:c r="V8" s="11" t="n">
        <x:v>-0.09</x:v>
      </x:c>
      <x:c r="W8" s="11" t="n">
        <x:v>-0.09</x:v>
      </x:c>
      <x:c r="X8" s="11" t="n">
        <x:v>0.24</x:v>
      </x:c>
      <x:c r="Y8" s="11">
        <x:f>ROUND(U8+V8+W8+X8-N8,2)</x:f>
      </x:c>
      <x:c r="Z8">
        <x:f>IF(AND(ABS(ROUND(N8,2))&gt;=0.5,ABS(O8)&gt;=0.05),"Yes","No")</x:f>
      </x:c>
      <x:c r="AA8" t="inlineStr">
        <x:is>
          <x:t xml:space="preserve">Closed actual</x:t>
        </x:is>
      </x:c>
      <x:c r="AB8" t="inlineStr">
        <x:is>
          <x:t xml:space="preserve"/>
        </x:is>
      </x:c>
      <x:c r="AC8" t="inlineStr">
        <x:is>
          <x:t xml:space="preserve"/>
        </x:is>
      </x:c>
      <x:c r="AD8" t="inlineStr">
        <x:is>
          <x:t xml:space="preserve">Synthetic - CIE training only</x:t>
        </x:is>
      </x:c>
    </x:row>
    <x:row r="9">
      <x:c r="A9" t="inlineStr">
        <x:is>
          <x:t xml:space="preserve">FIN-0004</x:t>
        </x:is>
      </x:c>
      <x:c r="B9" t="inlineStr">
        <x:is>
          <x:t xml:space="preserve">P07 Jul-2026</x:t>
        </x:is>
      </x:c>
      <x:c r="C9" s="10" t="n">
        <x:v>46234</x:v>
      </x:c>
      <x:c r="D9" t="inlineStr">
        <x:is>
          <x:t xml:space="preserve">Region Atlas</x:t>
        </x:is>
      </x:c>
      <x:c r="E9" t="inlineStr">
        <x:is>
          <x:t xml:space="preserve">Northmere</x:t>
        </x:is>
      </x:c>
      <x:c r="F9" t="inlineStr">
        <x:is>
          <x:t xml:space="preserve">Supply Chain</x:t>
        </x:is>
      </x:c>
      <x:c r="G9" t="inlineStr">
        <x:is>
          <x:t xml:space="preserve">NM-SCM-300</x:t>
        </x:is>
      </x:c>
      <x:c r="H9" t="inlineStr">
        <x:is>
          <x:t xml:space="preserve">Logistics &amp; Distribution</x:t>
        </x:is>
      </x:c>
      <x:c r="I9" t="inlineStr">
        <x:is>
          <x:t xml:space="preserve">Cost</x:t>
        </x:is>
      </x:c>
      <x:c r="J9" s="11" t="n">
        <x:v>5.78</x:v>
      </x:c>
      <x:c r="K9" s="11" t="n">
        <x:v>5.7</x:v>
      </x:c>
      <x:c r="L9" s="11" t="n">
        <x:v>5.36</x:v>
      </x:c>
      <x:c r="M9" s="11" t="n">
        <x:v>5.81</x:v>
      </x:c>
      <x:c r="N9" s="11">
        <x:f>J9-K9</x:f>
      </x:c>
      <x:c r="O9" s="12">
        <x:f>IF(K9=0,0,N9/K9)</x:f>
      </x:c>
      <x:c r="P9" s="11">
        <x:f>J9-L9</x:f>
      </x:c>
      <x:c r="Q9" s="12">
        <x:f>IF(L9=0,0,P9/L9)</x:f>
      </x:c>
      <x:c r="R9" s="11">
        <x:f>J9-M9</x:f>
      </x:c>
      <x:c r="S9" s="11">
        <x:f>IF(I9="Revenue",N9,-N9)</x:f>
      </x:c>
      <x:c r="T9">
        <x:f>IF(S9&gt;=0,"Favourable","Unfavourable")</x:f>
      </x:c>
      <x:c r="U9" s="11" t="n">
        <x:v>0.13</x:v>
      </x:c>
      <x:c r="V9" s="11" t="n">
        <x:v>-0.04</x:v>
      </x:c>
      <x:c r="W9" s="11" t="n">
        <x:v>0</x:v>
      </x:c>
      <x:c r="X9" s="11" t="n">
        <x:v>-0.01</x:v>
      </x:c>
      <x:c r="Y9" s="11">
        <x:f>ROUND(U9+V9+W9+X9-N9,2)</x:f>
      </x:c>
      <x:c r="Z9">
        <x:f>IF(AND(ABS(ROUND(N9,2))&gt;=0.5,ABS(O9)&gt;=0.05),"Yes","No")</x:f>
      </x:c>
      <x:c r="AA9" t="inlineStr">
        <x:is>
          <x:t xml:space="preserve">Closed actual</x:t>
        </x:is>
      </x:c>
      <x:c r="AB9" t="inlineStr">
        <x:is>
          <x:t xml:space="preserve"/>
        </x:is>
      </x:c>
      <x:c r="AC9" t="inlineStr">
        <x:is>
          <x:t xml:space="preserve"/>
        </x:is>
      </x:c>
      <x:c r="AD9" t="inlineStr">
        <x:is>
          <x:t xml:space="preserve">Synthetic - CIE training only</x:t>
        </x:is>
      </x:c>
    </x:row>
    <x:row r="10">
      <x:c r="A10" t="inlineStr">
        <x:is>
          <x:t xml:space="preserve">FIN-0005</x:t>
        </x:is>
      </x:c>
      <x:c r="B10" t="inlineStr">
        <x:is>
          <x:t xml:space="preserve">P07 Jul-2026</x:t>
        </x:is>
      </x:c>
      <x:c r="C10" s="10" t="n">
        <x:v>46234</x:v>
      </x:c>
      <x:c r="D10" t="inlineStr">
        <x:is>
          <x:t xml:space="preserve">Region Atlas</x:t>
        </x:is>
      </x:c>
      <x:c r="E10" t="inlineStr">
        <x:is>
          <x:t xml:space="preserve">Northmere</x:t>
        </x:is>
      </x:c>
      <x:c r="F10" t="inlineStr">
        <x:is>
          <x:t xml:space="preserve">Marketing</x:t>
        </x:is>
      </x:c>
      <x:c r="G10" t="inlineStr">
        <x:is>
          <x:t xml:space="preserve">NM-MKT-400</x:t>
        </x:is>
      </x:c>
      <x:c r="H10" t="inlineStr">
        <x:is>
          <x:t xml:space="preserve">Trade Marketing Investment</x:t>
        </x:is>
      </x:c>
      <x:c r="I10" t="inlineStr">
        <x:is>
          <x:t xml:space="preserve">Cost</x:t>
        </x:is>
      </x:c>
      <x:c r="J10" s="11" t="n">
        <x:v>7.96</x:v>
      </x:c>
      <x:c r="K10" s="11" t="n">
        <x:v>7.97</x:v>
      </x:c>
      <x:c r="L10" s="11" t="n">
        <x:v>7.67</x:v>
      </x:c>
      <x:c r="M10" s="11" t="n">
        <x:v>7.83</x:v>
      </x:c>
      <x:c r="N10" s="11">
        <x:f>J10-K10</x:f>
      </x:c>
      <x:c r="O10" s="12">
        <x:f>IF(K10=0,0,N10/K10)</x:f>
      </x:c>
      <x:c r="P10" s="11">
        <x:f>J10-L10</x:f>
      </x:c>
      <x:c r="Q10" s="12">
        <x:f>IF(L10=0,0,P10/L10)</x:f>
      </x:c>
      <x:c r="R10" s="11">
        <x:f>J10-M10</x:f>
      </x:c>
      <x:c r="S10" s="11">
        <x:f>IF(I10="Revenue",N10,-N10)</x:f>
      </x:c>
      <x:c r="T10">
        <x:f>IF(S10&gt;=0,"Favourable","Unfavourable")</x:f>
      </x:c>
      <x:c r="U10" s="11" t="n">
        <x:v>-0.1</x:v>
      </x:c>
      <x:c r="V10" s="11" t="n">
        <x:v>0.07000000000000001</x:v>
      </x:c>
      <x:c r="W10" s="11" t="n">
        <x:v>0.01</x:v>
      </x:c>
      <x:c r="X10" s="11" t="n">
        <x:v>0.01</x:v>
      </x:c>
      <x:c r="Y10" s="11">
        <x:f>ROUND(U10+V10+W10+X10-N10,2)</x:f>
      </x:c>
      <x:c r="Z10">
        <x:f>IF(AND(ABS(ROUND(N10,2))&gt;=0.5,ABS(O10)&gt;=0.05),"Yes","No")</x:f>
      </x:c>
      <x:c r="AA10" t="inlineStr">
        <x:is>
          <x:t xml:space="preserve">Closed actual</x:t>
        </x:is>
      </x:c>
      <x:c r="AB10" t="inlineStr">
        <x:is>
          <x:t xml:space="preserve"/>
        </x:is>
      </x:c>
      <x:c r="AC10" t="inlineStr">
        <x:is>
          <x:t xml:space="preserve"/>
        </x:is>
      </x:c>
      <x:c r="AD10" t="inlineStr">
        <x:is>
          <x:t xml:space="preserve">Synthetic - CIE training only</x:t>
        </x:is>
      </x:c>
    </x:row>
    <x:row r="11">
      <x:c r="A11" t="inlineStr">
        <x:is>
          <x:t xml:space="preserve">FIN-0006</x:t>
        </x:is>
      </x:c>
      <x:c r="B11" t="inlineStr">
        <x:is>
          <x:t xml:space="preserve">P07 Jul-2026</x:t>
        </x:is>
      </x:c>
      <x:c r="C11" s="10" t="n">
        <x:v>46234</x:v>
      </x:c>
      <x:c r="D11" t="inlineStr">
        <x:is>
          <x:t xml:space="preserve">Region Atlas</x:t>
        </x:is>
      </x:c>
      <x:c r="E11" t="inlineStr">
        <x:is>
          <x:t xml:space="preserve">Northmere</x:t>
        </x:is>
      </x:c>
      <x:c r="F11" t="inlineStr">
        <x:is>
          <x:t xml:space="preserve">Commercial</x:t>
        </x:is>
      </x:c>
      <x:c r="G11" t="inlineStr">
        <x:is>
          <x:t xml:space="preserve">NM-COM-110</x:t>
        </x:is>
      </x:c>
      <x:c r="H11" t="inlineStr">
        <x:is>
          <x:t xml:space="preserve">Sales Force Cost</x:t>
        </x:is>
      </x:c>
      <x:c r="I11" t="inlineStr">
        <x:is>
          <x:t xml:space="preserve">Cost</x:t>
        </x:is>
      </x:c>
      <x:c r="J11" s="11" t="n">
        <x:v>4.48</x:v>
      </x:c>
      <x:c r="K11" s="11" t="n">
        <x:v>4.51</x:v>
      </x:c>
      <x:c r="L11" s="11" t="n">
        <x:v>4.45</x:v>
      </x:c>
      <x:c r="M11" s="11" t="n">
        <x:v>4.53</x:v>
      </x:c>
      <x:c r="N11" s="11">
        <x:f>J11-K11</x:f>
      </x:c>
      <x:c r="O11" s="12">
        <x:f>IF(K11=0,0,N11/K11)</x:f>
      </x:c>
      <x:c r="P11" s="11">
        <x:f>J11-L11</x:f>
      </x:c>
      <x:c r="Q11" s="12">
        <x:f>IF(L11=0,0,P11/L11)</x:f>
      </x:c>
      <x:c r="R11" s="11">
        <x:f>J11-M11</x:f>
      </x:c>
      <x:c r="S11" s="11">
        <x:f>IF(I11="Revenue",N11,-N11)</x:f>
      </x:c>
      <x:c r="T11">
        <x:f>IF(S11&gt;=0,"Favourable","Unfavourable")</x:f>
      </x:c>
      <x:c r="U11" s="11" t="n">
        <x:v>-0.06</x:v>
      </x:c>
      <x:c r="V11" s="11" t="n">
        <x:v>0.01</x:v>
      </x:c>
      <x:c r="W11" s="11" t="n">
        <x:v>0.02</x:v>
      </x:c>
      <x:c r="X11" s="11" t="n">
        <x:v>0</x:v>
      </x:c>
      <x:c r="Y11" s="11">
        <x:f>ROUND(U11+V11+W11+X11-N11,2)</x:f>
      </x:c>
      <x:c r="Z11">
        <x:f>IF(AND(ABS(ROUND(N11,2))&gt;=0.5,ABS(O11)&gt;=0.05),"Yes","No")</x:f>
      </x:c>
      <x:c r="AA11" t="inlineStr">
        <x:is>
          <x:t xml:space="preserve">Closed actual</x:t>
        </x:is>
      </x:c>
      <x:c r="AB11" t="inlineStr">
        <x:is>
          <x:t xml:space="preserve"/>
        </x:is>
      </x:c>
      <x:c r="AC11" t="inlineStr">
        <x:is>
          <x:t xml:space="preserve"/>
        </x:is>
      </x:c>
      <x:c r="AD11" t="inlineStr">
        <x:is>
          <x:t xml:space="preserve">Synthetic - CIE training only</x:t>
        </x:is>
      </x:c>
    </x:row>
    <x:row r="12">
      <x:c r="A12" t="inlineStr">
        <x:is>
          <x:t xml:space="preserve">FIN-0007</x:t>
        </x:is>
      </x:c>
      <x:c r="B12" t="inlineStr">
        <x:is>
          <x:t xml:space="preserve">P07 Jul-2026</x:t>
        </x:is>
      </x:c>
      <x:c r="C12" s="10" t="n">
        <x:v>46234</x:v>
      </x:c>
      <x:c r="D12" t="inlineStr">
        <x:is>
          <x:t xml:space="preserve">Region Atlas</x:t>
        </x:is>
      </x:c>
      <x:c r="E12" t="inlineStr">
        <x:is>
          <x:t xml:space="preserve">Northmere</x:t>
        </x:is>
      </x:c>
      <x:c r="F12" t="inlineStr">
        <x:is>
          <x:t xml:space="preserve">Digital &amp; IT</x:t>
        </x:is>
      </x:c>
      <x:c r="G12" t="inlineStr">
        <x:is>
          <x:t xml:space="preserve">NM-DIT-500</x:t>
        </x:is>
      </x:c>
      <x:c r="H12" t="inlineStr">
        <x:is>
          <x:t xml:space="preserve">Digital &amp; IT Cost</x:t>
        </x:is>
      </x:c>
      <x:c r="I12" t="inlineStr">
        <x:is>
          <x:t xml:space="preserve">Cost</x:t>
        </x:is>
      </x:c>
      <x:c r="J12" s="11" t="n">
        <x:v>3.28</x:v>
      </x:c>
      <x:c r="K12" s="11" t="n">
        <x:v>3.36</x:v>
      </x:c>
      <x:c r="L12" s="11" t="n">
        <x:v>3.28</x:v>
      </x:c>
      <x:c r="M12" s="11" t="n">
        <x:v>3.28</x:v>
      </x:c>
      <x:c r="N12" s="11">
        <x:f>J12-K12</x:f>
      </x:c>
      <x:c r="O12" s="12">
        <x:f>IF(K12=0,0,N12/K12)</x:f>
      </x:c>
      <x:c r="P12" s="11">
        <x:f>J12-L12</x:f>
      </x:c>
      <x:c r="Q12" s="12">
        <x:f>IF(L12=0,0,P12/L12)</x:f>
      </x:c>
      <x:c r="R12" s="11">
        <x:f>J12-M12</x:f>
      </x:c>
      <x:c r="S12" s="11">
        <x:f>IF(I12="Revenue",N12,-N12)</x:f>
      </x:c>
      <x:c r="T12">
        <x:f>IF(S12&gt;=0,"Favourable","Unfavourable")</x:f>
      </x:c>
      <x:c r="U12" s="11" t="n">
        <x:v>0.02</x:v>
      </x:c>
      <x:c r="V12" s="11" t="n">
        <x:v>-0.04</x:v>
      </x:c>
      <x:c r="W12" s="11" t="n">
        <x:v>-0.04</x:v>
      </x:c>
      <x:c r="X12" s="11" t="n">
        <x:v>-0.02</x:v>
      </x:c>
      <x:c r="Y12" s="11">
        <x:f>ROUND(U12+V12+W12+X12-N12,2)</x:f>
      </x:c>
      <x:c r="Z12">
        <x:f>IF(AND(ABS(ROUND(N12,2))&gt;=0.5,ABS(O12)&gt;=0.05),"Yes","No")</x:f>
      </x:c>
      <x:c r="AA12" t="inlineStr">
        <x:is>
          <x:t xml:space="preserve">Closed actual</x:t>
        </x:is>
      </x:c>
      <x:c r="AB12" t="inlineStr">
        <x:is>
          <x:t xml:space="preserve"/>
        </x:is>
      </x:c>
      <x:c r="AC12" t="inlineStr">
        <x:is>
          <x:t xml:space="preserve"/>
        </x:is>
      </x:c>
      <x:c r="AD12" t="inlineStr">
        <x:is>
          <x:t xml:space="preserve">Synthetic - CIE training only</x:t>
        </x:is>
      </x:c>
    </x:row>
    <x:row r="13">
      <x:c r="A13" t="inlineStr">
        <x:is>
          <x:t xml:space="preserve">FIN-0008</x:t>
        </x:is>
      </x:c>
      <x:c r="B13" t="inlineStr">
        <x:is>
          <x:t xml:space="preserve">P07 Jul-2026</x:t>
        </x:is>
      </x:c>
      <x:c r="C13" s="10" t="n">
        <x:v>46234</x:v>
      </x:c>
      <x:c r="D13" t="inlineStr">
        <x:is>
          <x:t xml:space="preserve">Region Atlas</x:t>
        </x:is>
      </x:c>
      <x:c r="E13" t="inlineStr">
        <x:is>
          <x:t xml:space="preserve">Northmere</x:t>
        </x:is>
      </x:c>
      <x:c r="F13" t="inlineStr">
        <x:is>
          <x:t xml:space="preserve">Finance</x:t>
        </x:is>
      </x:c>
      <x:c r="G13" t="inlineStr">
        <x:is>
          <x:t xml:space="preserve">NM-FIN-600</x:t>
        </x:is>
      </x:c>
      <x:c r="H13" t="inlineStr">
        <x:is>
          <x:t xml:space="preserve">General &amp; Admin Cost</x:t>
        </x:is>
      </x:c>
      <x:c r="I13" t="inlineStr">
        <x:is>
          <x:t xml:space="preserve">Cost</x:t>
        </x:is>
      </x:c>
      <x:c r="J13" s="11" t="n">
        <x:v>2.74</x:v>
      </x:c>
      <x:c r="K13" s="11" t="n">
        <x:v>2.69</x:v>
      </x:c>
      <x:c r="L13" s="11" t="n">
        <x:v>2.59</x:v>
      </x:c>
      <x:c r="M13" s="11" t="n">
        <x:v>2.73</x:v>
      </x:c>
      <x:c r="N13" s="11">
        <x:f>J13-K13</x:f>
      </x:c>
      <x:c r="O13" s="12">
        <x:f>IF(K13=0,0,N13/K13)</x:f>
      </x:c>
      <x:c r="P13" s="11">
        <x:f>J13-L13</x:f>
      </x:c>
      <x:c r="Q13" s="12">
        <x:f>IF(L13=0,0,P13/L13)</x:f>
      </x:c>
      <x:c r="R13" s="11">
        <x:f>J13-M13</x:f>
      </x:c>
      <x:c r="S13" s="11">
        <x:f>IF(I13="Revenue",N13,-N13)</x:f>
      </x:c>
      <x:c r="T13">
        <x:f>IF(S13&gt;=0,"Favourable","Unfavourable")</x:f>
      </x:c>
      <x:c r="U13" s="11" t="n">
        <x:v>0.01</x:v>
      </x:c>
      <x:c r="V13" s="11" t="n">
        <x:v>0.04</x:v>
      </x:c>
      <x:c r="W13" s="11" t="n">
        <x:v>0</x:v>
      </x:c>
      <x:c r="X13" s="11" t="n">
        <x:v>0</x:v>
      </x:c>
      <x:c r="Y13" s="11">
        <x:f>ROUND(U13+V13+W13+X13-N13,2)</x:f>
      </x:c>
      <x:c r="Z13">
        <x:f>IF(AND(ABS(ROUND(N13,2))&gt;=0.5,ABS(O13)&gt;=0.05),"Yes","No")</x:f>
      </x:c>
      <x:c r="AA13" t="inlineStr">
        <x:is>
          <x:t xml:space="preserve">Closed actual</x:t>
        </x:is>
      </x:c>
      <x:c r="AB13" t="inlineStr">
        <x:is>
          <x:t xml:space="preserve"/>
        </x:is>
      </x:c>
      <x:c r="AC13" t="inlineStr">
        <x:is>
          <x:t xml:space="preserve"/>
        </x:is>
      </x:c>
      <x:c r="AD13" t="inlineStr">
        <x:is>
          <x:t xml:space="preserve">Synthetic - CIE training only</x:t>
        </x:is>
      </x:c>
    </x:row>
    <x:row r="14">
      <x:c r="A14" t="inlineStr">
        <x:is>
          <x:t xml:space="preserve">FIN-0009</x:t>
        </x:is>
      </x:c>
      <x:c r="B14" t="inlineStr">
        <x:is>
          <x:t xml:space="preserve">P07 Jul-2026</x:t>
        </x:is>
      </x:c>
      <x:c r="C14" s="10" t="n">
        <x:v>46234</x:v>
      </x:c>
      <x:c r="D14" t="inlineStr">
        <x:is>
          <x:t xml:space="preserve">Region Atlas</x:t>
        </x:is>
      </x:c>
      <x:c r="E14" t="inlineStr">
        <x:is>
          <x:t xml:space="preserve">Northmere</x:t>
        </x:is>
      </x:c>
      <x:c r="F14" t="inlineStr">
        <x:is>
          <x:t xml:space="preserve">Operations</x:t>
        </x:is>
      </x:c>
      <x:c r="G14" t="inlineStr">
        <x:is>
          <x:t xml:space="preserve">NM-OPS-210</x:t>
        </x:is>
      </x:c>
      <x:c r="H14" t="inlineStr">
        <x:is>
          <x:t xml:space="preserve">Facilities Cost</x:t>
        </x:is>
      </x:c>
      <x:c r="I14" t="inlineStr">
        <x:is>
          <x:t xml:space="preserve">Cost</x:t>
        </x:is>
      </x:c>
      <x:c r="J14" s="11" t="n">
        <x:v>1.59</x:v>
      </x:c>
      <x:c r="K14" s="11" t="n">
        <x:v>1.56</x:v>
      </x:c>
      <x:c r="L14" s="11" t="n">
        <x:v>1.49</x:v>
      </x:c>
      <x:c r="M14" s="11" t="n">
        <x:v>1.61</x:v>
      </x:c>
      <x:c r="N14" s="11">
        <x:f>J14-K14</x:f>
      </x:c>
      <x:c r="O14" s="12">
        <x:f>IF(K14=0,0,N14/K14)</x:f>
      </x:c>
      <x:c r="P14" s="11">
        <x:f>J14-L14</x:f>
      </x:c>
      <x:c r="Q14" s="12">
        <x:f>IF(L14=0,0,P14/L14)</x:f>
      </x:c>
      <x:c r="R14" s="11">
        <x:f>J14-M14</x:f>
      </x:c>
      <x:c r="S14" s="11">
        <x:f>IF(I14="Revenue",N14,-N14)</x:f>
      </x:c>
      <x:c r="T14">
        <x:f>IF(S14&gt;=0,"Favourable","Unfavourable")</x:f>
      </x:c>
      <x:c r="U14" s="11" t="n">
        <x:v>0</x:v>
      </x:c>
      <x:c r="V14" s="11" t="n">
        <x:v>0.01</x:v>
      </x:c>
      <x:c r="W14" s="11" t="n">
        <x:v>0.01</x:v>
      </x:c>
      <x:c r="X14" s="11" t="n">
        <x:v>0.01</x:v>
      </x:c>
      <x:c r="Y14" s="11">
        <x:f>ROUND(U14+V14+W14+X14-N14,2)</x:f>
      </x:c>
      <x:c r="Z14">
        <x:f>IF(AND(ABS(ROUND(N14,2))&gt;=0.5,ABS(O14)&gt;=0.05),"Yes","No")</x:f>
      </x:c>
      <x:c r="AA14" t="inlineStr">
        <x:is>
          <x:t xml:space="preserve">Closed actual</x:t>
        </x:is>
      </x:c>
      <x:c r="AB14" t="inlineStr">
        <x:is>
          <x:t xml:space="preserve"/>
        </x:is>
      </x:c>
      <x:c r="AC14" t="inlineStr">
        <x:is>
          <x:t xml:space="preserve"/>
        </x:is>
      </x:c>
      <x:c r="AD14" t="inlineStr">
        <x:is>
          <x:t xml:space="preserve">Synthetic - CIE training only</x:t>
        </x:is>
      </x:c>
    </x:row>
    <x:row r="15">
      <x:c r="A15" t="inlineStr">
        <x:is>
          <x:t xml:space="preserve">FIN-0010</x:t>
        </x:is>
      </x:c>
      <x:c r="B15" t="inlineStr">
        <x:is>
          <x:t xml:space="preserve">P07 Jul-2026</x:t>
        </x:is>
      </x:c>
      <x:c r="C15" s="10" t="n">
        <x:v>46234</x:v>
      </x:c>
      <x:c r="D15" t="inlineStr">
        <x:is>
          <x:t xml:space="preserve">Region Atlas</x:t>
        </x:is>
      </x:c>
      <x:c r="E15" t="inlineStr">
        <x:is>
          <x:t xml:space="preserve">Eastvale</x:t>
        </x:is>
      </x:c>
      <x:c r="F15" t="inlineStr">
        <x:is>
          <x:t xml:space="preserve">Commercial</x:t>
        </x:is>
      </x:c>
      <x:c r="G15" t="inlineStr">
        <x:is>
          <x:t xml:space="preserve">EV-COM-100</x:t>
        </x:is>
      </x:c>
      <x:c r="H15" t="inlineStr">
        <x:is>
          <x:t xml:space="preserve">Net Revenue</x:t>
        </x:is>
      </x:c>
      <x:c r="I15" t="inlineStr">
        <x:is>
          <x:t xml:space="preserve">Revenue</x:t>
        </x:is>
      </x:c>
      <x:c r="J15" s="11" t="n">
        <x:v>53.1</x:v>
      </x:c>
      <x:c r="K15" s="11" t="n">
        <x:v>60.31</x:v>
      </x:c>
      <x:c r="L15" s="11" t="n">
        <x:v>56.17</x:v>
      </x:c>
      <x:c r="M15" s="11" t="n">
        <x:v>59.48</x:v>
      </x:c>
      <x:c r="N15" s="11">
        <x:f>J15-K15</x:f>
      </x:c>
      <x:c r="O15" s="12">
        <x:f>IF(K15=0,0,N15/K15)</x:f>
      </x:c>
      <x:c r="P15" s="11">
        <x:f>J15-L15</x:f>
      </x:c>
      <x:c r="Q15" s="12">
        <x:f>IF(L15=0,0,P15/L15)</x:f>
      </x:c>
      <x:c r="R15" s="11">
        <x:f>J15-M15</x:f>
      </x:c>
      <x:c r="S15" s="11">
        <x:f>IF(I15="Revenue",N15,-N15)</x:f>
      </x:c>
      <x:c r="T15">
        <x:f>IF(S15&gt;=0,"Favourable","Unfavourable")</x:f>
      </x:c>
      <x:c r="U15" s="11" t="n">
        <x:v>-5.7</x:v>
      </x:c>
      <x:c r="V15" s="11" t="n">
        <x:v>-0.72</x:v>
      </x:c>
      <x:c r="W15" s="11" t="n">
        <x:v>-0.63</x:v>
      </x:c>
      <x:c r="X15" s="11" t="n">
        <x:v>-0.16</x:v>
      </x:c>
      <x:c r="Y15" s="11">
        <x:f>ROUND(U15+V15+W15+X15-N15,2)</x:f>
      </x:c>
      <x:c r="Z15">
        <x:f>IF(AND(ABS(ROUND(N15,2))&gt;=0.5,ABS(O15)&gt;=0.05),"Yes","No")</x:f>
      </x:c>
      <x:c r="AA15" t="inlineStr">
        <x:is>
          <x:t xml:space="preserve">Closed actual</x:t>
        </x:is>
      </x:c>
      <x:c r="AB15" t="inlineStr">
        <x:is>
          <x:t xml:space="preserve">Volume shortfall vs plan in two key channels (fictional); recovery not yet evidenced</x:t>
        </x:is>
      </x:c>
      <x:c r="AC15" t="inlineStr">
        <x:is>
          <x:t xml:space="preserve"/>
        </x:is>
      </x:c>
      <x:c r="AD15" t="inlineStr">
        <x:is>
          <x:t xml:space="preserve">Synthetic - CIE training only</x:t>
        </x:is>
      </x:c>
    </x:row>
    <x:row r="16">
      <x:c r="A16" t="inlineStr">
        <x:is>
          <x:t xml:space="preserve">FIN-0011</x:t>
        </x:is>
      </x:c>
      <x:c r="B16" t="inlineStr">
        <x:is>
          <x:t xml:space="preserve">P07 Jul-2026</x:t>
        </x:is>
      </x:c>
      <x:c r="C16" s="10" t="n">
        <x:v>46234</x:v>
      </x:c>
      <x:c r="D16" t="inlineStr">
        <x:is>
          <x:t xml:space="preserve">Region Atlas</x:t>
        </x:is>
      </x:c>
      <x:c r="E16" t="inlineStr">
        <x:is>
          <x:t xml:space="preserve">Eastvale</x:t>
        </x:is>
      </x:c>
      <x:c r="F16" t="inlineStr">
        <x:is>
          <x:t xml:space="preserve">Finance</x:t>
        </x:is>
      </x:c>
      <x:c r="G16" t="inlineStr">
        <x:is>
          <x:t xml:space="preserve">EV-FIN-900</x:t>
        </x:is>
      </x:c>
      <x:c r="H16" t="inlineStr">
        <x:is>
          <x:t xml:space="preserve">Other Operating Income</x:t>
        </x:is>
      </x:c>
      <x:c r="I16" t="inlineStr">
        <x:is>
          <x:t xml:space="preserve">Revenue</x:t>
        </x:is>
      </x:c>
      <x:c r="J16" s="11" t="n">
        <x:v>1.51</x:v>
      </x:c>
      <x:c r="K16" s="11" t="n">
        <x:v>1.5</x:v>
      </x:c>
      <x:c r="L16" s="11" t="n">
        <x:v>1.43</x:v>
      </x:c>
      <x:c r="M16" s="11" t="n">
        <x:v>1.52</x:v>
      </x:c>
      <x:c r="N16" s="11">
        <x:f>J16-K16</x:f>
      </x:c>
      <x:c r="O16" s="12">
        <x:f>IF(K16=0,0,N16/K16)</x:f>
      </x:c>
      <x:c r="P16" s="11">
        <x:f>J16-L16</x:f>
      </x:c>
      <x:c r="Q16" s="12">
        <x:f>IF(L16=0,0,P16/L16)</x:f>
      </x:c>
      <x:c r="R16" s="11">
        <x:f>J16-M16</x:f>
      </x:c>
      <x:c r="S16" s="11">
        <x:f>IF(I16="Revenue",N16,-N16)</x:f>
      </x:c>
      <x:c r="T16">
        <x:f>IF(S16&gt;=0,"Favourable","Unfavourable")</x:f>
      </x:c>
      <x:c r="U16" s="11" t="n">
        <x:v>0.02</x:v>
      </x:c>
      <x:c r="V16" s="11" t="n">
        <x:v>-0.01</x:v>
      </x:c>
      <x:c r="W16" s="11" t="n">
        <x:v>-0.01</x:v>
      </x:c>
      <x:c r="X16" s="11" t="n">
        <x:v>0.01</x:v>
      </x:c>
      <x:c r="Y16" s="11">
        <x:f>ROUND(U16+V16+W16+X16-N16,2)</x:f>
      </x:c>
      <x:c r="Z16">
        <x:f>IF(AND(ABS(ROUND(N16,2))&gt;=0.5,ABS(O16)&gt;=0.05),"Yes","No")</x:f>
      </x:c>
      <x:c r="AA16" t="inlineStr">
        <x:is>
          <x:t xml:space="preserve">Closed actual</x:t>
        </x:is>
      </x:c>
      <x:c r="AB16" t="inlineStr">
        <x:is>
          <x:t xml:space="preserve"/>
        </x:is>
      </x:c>
      <x:c r="AC16" t="inlineStr">
        <x:is>
          <x:t xml:space="preserve"/>
        </x:is>
      </x:c>
      <x:c r="AD16" t="inlineStr">
        <x:is>
          <x:t xml:space="preserve">Synthetic - CIE training only</x:t>
        </x:is>
      </x:c>
    </x:row>
    <x:row r="17">
      <x:c r="A17" t="inlineStr">
        <x:is>
          <x:t xml:space="preserve">FIN-0012</x:t>
        </x:is>
      </x:c>
      <x:c r="B17" t="inlineStr">
        <x:is>
          <x:t xml:space="preserve">P07 Jul-2026</x:t>
        </x:is>
      </x:c>
      <x:c r="C17" s="10" t="n">
        <x:v>46234</x:v>
      </x:c>
      <x:c r="D17" t="inlineStr">
        <x:is>
          <x:t xml:space="preserve">Region Atlas</x:t>
        </x:is>
      </x:c>
      <x:c r="E17" t="inlineStr">
        <x:is>
          <x:t xml:space="preserve">Eastvale</x:t>
        </x:is>
      </x:c>
      <x:c r="F17" t="inlineStr">
        <x:is>
          <x:t xml:space="preserve">Operations</x:t>
        </x:is>
      </x:c>
      <x:c r="G17" t="inlineStr">
        <x:is>
          <x:t xml:space="preserve">EV-OPS-200</x:t>
        </x:is>
      </x:c>
      <x:c r="H17" t="inlineStr">
        <x:is>
          <x:t xml:space="preserve">Cost of Goods Sold</x:t>
        </x:is>
      </x:c>
      <x:c r="I17" t="inlineStr">
        <x:is>
          <x:t xml:space="preserve">Cost</x:t>
        </x:is>
      </x:c>
      <x:c r="J17" s="11" t="n">
        <x:v>20.31</x:v>
      </x:c>
      <x:c r="K17" s="11" t="n">
        <x:v>21.71</x:v>
      </x:c>
      <x:c r="L17" s="11" t="n">
        <x:v>21.24</x:v>
      </x:c>
      <x:c r="M17" s="11" t="n">
        <x:v>20.15</x:v>
      </x:c>
      <x:c r="N17" s="11">
        <x:f>J17-K17</x:f>
      </x:c>
      <x:c r="O17" s="12">
        <x:f>IF(K17=0,0,N17/K17)</x:f>
      </x:c>
      <x:c r="P17" s="11">
        <x:f>J17-L17</x:f>
      </x:c>
      <x:c r="Q17" s="12">
        <x:f>IF(L17=0,0,P17/L17)</x:f>
      </x:c>
      <x:c r="R17" s="11">
        <x:f>J17-M17</x:f>
      </x:c>
      <x:c r="S17" s="11">
        <x:f>IF(I17="Revenue",N17,-N17)</x:f>
      </x:c>
      <x:c r="T17">
        <x:f>IF(S17&gt;=0,"Favourable","Unfavourable")</x:f>
      </x:c>
      <x:c r="U17" s="11" t="n">
        <x:v>-1.51</x:v>
      </x:c>
      <x:c r="V17" s="11" t="n">
        <x:v>0.14</x:v>
      </x:c>
      <x:c r="W17" s="11" t="n">
        <x:v>0.03</x:v>
      </x:c>
      <x:c r="X17" s="11" t="n">
        <x:v>-0.06</x:v>
      </x:c>
      <x:c r="Y17" s="11">
        <x:f>ROUND(U17+V17+W17+X17-N17,2)</x:f>
      </x:c>
      <x:c r="Z17">
        <x:f>IF(AND(ABS(ROUND(N17,2))&gt;=0.5,ABS(O17)&gt;=0.05),"Yes","No")</x:f>
      </x:c>
      <x:c r="AA17" t="inlineStr">
        <x:is>
          <x:t xml:space="preserve">Closed actual</x:t>
        </x:is>
      </x:c>
      <x:c r="AB17" t="inlineStr">
        <x:is>
          <x:t xml:space="preserve"/>
        </x:is>
      </x:c>
      <x:c r="AC17" t="inlineStr">
        <x:is>
          <x:t xml:space="preserve">Lower COGS follows lower volume - not an efficiency saving</x:t>
        </x:is>
      </x:c>
      <x:c r="AD17" t="inlineStr">
        <x:is>
          <x:t xml:space="preserve">Synthetic - CIE training only</x:t>
        </x:is>
      </x:c>
    </x:row>
    <x:row r="18">
      <x:c r="A18" t="inlineStr">
        <x:is>
          <x:t xml:space="preserve">FIN-0013</x:t>
        </x:is>
      </x:c>
      <x:c r="B18" t="inlineStr">
        <x:is>
          <x:t xml:space="preserve">P07 Jul-2026</x:t>
        </x:is>
      </x:c>
      <x:c r="C18" s="10" t="n">
        <x:v>46234</x:v>
      </x:c>
      <x:c r="D18" t="inlineStr">
        <x:is>
          <x:t xml:space="preserve">Region Atlas</x:t>
        </x:is>
      </x:c>
      <x:c r="E18" t="inlineStr">
        <x:is>
          <x:t xml:space="preserve">Eastvale</x:t>
        </x:is>
      </x:c>
      <x:c r="F18" t="inlineStr">
        <x:is>
          <x:t xml:space="preserve">Supply Chain</x:t>
        </x:is>
      </x:c>
      <x:c r="G18" t="inlineStr">
        <x:is>
          <x:t xml:space="preserve">EV-SCM-300</x:t>
        </x:is>
      </x:c>
      <x:c r="H18" t="inlineStr">
        <x:is>
          <x:t xml:space="preserve">Logistics &amp; Distribution</x:t>
        </x:is>
      </x:c>
      <x:c r="I18" t="inlineStr">
        <x:is>
          <x:t xml:space="preserve">Cost</x:t>
        </x:is>
      </x:c>
      <x:c r="J18" s="11" t="n">
        <x:v>4.3</x:v>
      </x:c>
      <x:c r="K18" s="11" t="n">
        <x:v>4.28</x:v>
      </x:c>
      <x:c r="L18" s="11" t="n">
        <x:v>4.1</x:v>
      </x:c>
      <x:c r="M18" s="11" t="n">
        <x:v>4.3</x:v>
      </x:c>
      <x:c r="N18" s="11">
        <x:f>J18-K18</x:f>
      </x:c>
      <x:c r="O18" s="12">
        <x:f>IF(K18=0,0,N18/K18)</x:f>
      </x:c>
      <x:c r="P18" s="11">
        <x:f>J18-L18</x:f>
      </x:c>
      <x:c r="Q18" s="12">
        <x:f>IF(L18=0,0,P18/L18)</x:f>
      </x:c>
      <x:c r="R18" s="11">
        <x:f>J18-M18</x:f>
      </x:c>
      <x:c r="S18" s="11">
        <x:f>IF(I18="Revenue",N18,-N18)</x:f>
      </x:c>
      <x:c r="T18">
        <x:f>IF(S18&gt;=0,"Favourable","Unfavourable")</x:f>
      </x:c>
      <x:c r="U18" s="11" t="n">
        <x:v>0.03</x:v>
      </x:c>
      <x:c r="V18" s="11" t="n">
        <x:v>0.02</x:v>
      </x:c>
      <x:c r="W18" s="11" t="n">
        <x:v>-0.02</x:v>
      </x:c>
      <x:c r="X18" s="11" t="n">
        <x:v>-0.01</x:v>
      </x:c>
      <x:c r="Y18" s="11">
        <x:f>ROUND(U18+V18+W18+X18-N18,2)</x:f>
      </x:c>
      <x:c r="Z18">
        <x:f>IF(AND(ABS(ROUND(N18,2))&gt;=0.5,ABS(O18)&gt;=0.05),"Yes","No")</x:f>
      </x:c>
      <x:c r="AA18" t="inlineStr">
        <x:is>
          <x:t xml:space="preserve">Closed actual</x:t>
        </x:is>
      </x:c>
      <x:c r="AB18" t="inlineStr">
        <x:is>
          <x:t xml:space="preserve"/>
        </x:is>
      </x:c>
      <x:c r="AC18" t="inlineStr">
        <x:is>
          <x:t xml:space="preserve"/>
        </x:is>
      </x:c>
      <x:c r="AD18" t="inlineStr">
        <x:is>
          <x:t xml:space="preserve">Synthetic - CIE training only</x:t>
        </x:is>
      </x:c>
    </x:row>
    <x:row r="19">
      <x:c r="A19" t="inlineStr">
        <x:is>
          <x:t xml:space="preserve">FIN-0014</x:t>
        </x:is>
      </x:c>
      <x:c r="B19" t="inlineStr">
        <x:is>
          <x:t xml:space="preserve">P07 Jul-2026</x:t>
        </x:is>
      </x:c>
      <x:c r="C19" s="10" t="n">
        <x:v>46234</x:v>
      </x:c>
      <x:c r="D19" t="inlineStr">
        <x:is>
          <x:t xml:space="preserve">Region Atlas</x:t>
        </x:is>
      </x:c>
      <x:c r="E19" t="inlineStr">
        <x:is>
          <x:t xml:space="preserve">Eastvale</x:t>
        </x:is>
      </x:c>
      <x:c r="F19" t="inlineStr">
        <x:is>
          <x:t xml:space="preserve">Marketing</x:t>
        </x:is>
      </x:c>
      <x:c r="G19" t="inlineStr">
        <x:is>
          <x:t xml:space="preserve">EV-MKT-400</x:t>
        </x:is>
      </x:c>
      <x:c r="H19" t="inlineStr">
        <x:is>
          <x:t xml:space="preserve">Trade Marketing Investment</x:t>
        </x:is>
      </x:c>
      <x:c r="I19" t="inlineStr">
        <x:is>
          <x:t xml:space="preserve">Cost</x:t>
        </x:is>
      </x:c>
      <x:c r="J19" s="11" t="n">
        <x:v>6.19</x:v>
      </x:c>
      <x:c r="K19" s="11" t="n">
        <x:v>6.06</x:v>
      </x:c>
      <x:c r="L19" s="11" t="n">
        <x:v>5.87</x:v>
      </x:c>
      <x:c r="M19" s="11" t="n">
        <x:v>6.19</x:v>
      </x:c>
      <x:c r="N19" s="11">
        <x:f>J19-K19</x:f>
      </x:c>
      <x:c r="O19" s="12">
        <x:f>IF(K19=0,0,N19/K19)</x:f>
      </x:c>
      <x:c r="P19" s="11">
        <x:f>J19-L19</x:f>
      </x:c>
      <x:c r="Q19" s="12">
        <x:f>IF(L19=0,0,P19/L19)</x:f>
      </x:c>
      <x:c r="R19" s="11">
        <x:f>J19-M19</x:f>
      </x:c>
      <x:c r="S19" s="11">
        <x:f>IF(I19="Revenue",N19,-N19)</x:f>
      </x:c>
      <x:c r="T19">
        <x:f>IF(S19&gt;=0,"Favourable","Unfavourable")</x:f>
      </x:c>
      <x:c r="U19" s="11" t="n">
        <x:v>0.07000000000000001</x:v>
      </x:c>
      <x:c r="V19" s="11" t="n">
        <x:v>0.07000000000000001</x:v>
      </x:c>
      <x:c r="W19" s="11" t="n">
        <x:v>-0.02</x:v>
      </x:c>
      <x:c r="X19" s="11" t="n">
        <x:v>0.01</x:v>
      </x:c>
      <x:c r="Y19" s="11">
        <x:f>ROUND(U19+V19+W19+X19-N19,2)</x:f>
      </x:c>
      <x:c r="Z19">
        <x:f>IF(AND(ABS(ROUND(N19,2))&gt;=0.5,ABS(O19)&gt;=0.05),"Yes","No")</x:f>
      </x:c>
      <x:c r="AA19" t="inlineStr">
        <x:is>
          <x:t xml:space="preserve">Closed actual</x:t>
        </x:is>
      </x:c>
      <x:c r="AB19" t="inlineStr">
        <x:is>
          <x:t xml:space="preserve"/>
        </x:is>
      </x:c>
      <x:c r="AC19" t="inlineStr">
        <x:is>
          <x:t xml:space="preserve"/>
        </x:is>
      </x:c>
      <x:c r="AD19" t="inlineStr">
        <x:is>
          <x:t xml:space="preserve">Synthetic - CIE training only</x:t>
        </x:is>
      </x:c>
    </x:row>
    <x:row r="20">
      <x:c r="A20" t="inlineStr">
        <x:is>
          <x:t xml:space="preserve">FIN-0015</x:t>
        </x:is>
      </x:c>
      <x:c r="B20" t="inlineStr">
        <x:is>
          <x:t xml:space="preserve">P07 Jul-2026</x:t>
        </x:is>
      </x:c>
      <x:c r="C20" s="10" t="n">
        <x:v>46234</x:v>
      </x:c>
      <x:c r="D20" t="inlineStr">
        <x:is>
          <x:t xml:space="preserve">Region Atlas</x:t>
        </x:is>
      </x:c>
      <x:c r="E20" t="inlineStr">
        <x:is>
          <x:t xml:space="preserve">Eastvale</x:t>
        </x:is>
      </x:c>
      <x:c r="F20" t="inlineStr">
        <x:is>
          <x:t xml:space="preserve">Commercial</x:t>
        </x:is>
      </x:c>
      <x:c r="G20" t="inlineStr">
        <x:is>
          <x:t xml:space="preserve">EV-COM-110</x:t>
        </x:is>
      </x:c>
      <x:c r="H20" t="inlineStr">
        <x:is>
          <x:t xml:space="preserve">Sales Force Cost</x:t>
        </x:is>
      </x:c>
      <x:c r="I20" t="inlineStr">
        <x:is>
          <x:t xml:space="preserve">Cost</x:t>
        </x:is>
      </x:c>
      <x:c r="J20" s="11" t="n">
        <x:v>3.37</x:v>
      </x:c>
      <x:c r="K20" s="11" t="n">
        <x:v>3.42</x:v>
      </x:c>
      <x:c r="L20" s="11" t="n">
        <x:v>3.28</x:v>
      </x:c>
      <x:c r="M20" s="11" t="n">
        <x:v>3.38</x:v>
      </x:c>
      <x:c r="N20" s="11">
        <x:f>J20-K20</x:f>
      </x:c>
      <x:c r="O20" s="12">
        <x:f>IF(K20=0,0,N20/K20)</x:f>
      </x:c>
      <x:c r="P20" s="11">
        <x:f>J20-L20</x:f>
      </x:c>
      <x:c r="Q20" s="12">
        <x:f>IF(L20=0,0,P20/L20)</x:f>
      </x:c>
      <x:c r="R20" s="11">
        <x:f>J20-M20</x:f>
      </x:c>
      <x:c r="S20" s="11">
        <x:f>IF(I20="Revenue",N20,-N20)</x:f>
      </x:c>
      <x:c r="T20">
        <x:f>IF(S20&gt;=0,"Favourable","Unfavourable")</x:f>
      </x:c>
      <x:c r="U20" s="11" t="n">
        <x:v>-0.02</x:v>
      </x:c>
      <x:c r="V20" s="11" t="n">
        <x:v>-0.03</x:v>
      </x:c>
      <x:c r="W20" s="11" t="n">
        <x:v>0</x:v>
      </x:c>
      <x:c r="X20" s="11" t="n">
        <x:v>0</x:v>
      </x:c>
      <x:c r="Y20" s="11">
        <x:f>ROUND(U20+V20+W20+X20-N20,2)</x:f>
      </x:c>
      <x:c r="Z20">
        <x:f>IF(AND(ABS(ROUND(N20,2))&gt;=0.5,ABS(O20)&gt;=0.05),"Yes","No")</x:f>
      </x:c>
      <x:c r="AA20" t="inlineStr">
        <x:is>
          <x:t xml:space="preserve">Closed actual</x:t>
        </x:is>
      </x:c>
      <x:c r="AB20" t="inlineStr">
        <x:is>
          <x:t xml:space="preserve"/>
        </x:is>
      </x:c>
      <x:c r="AC20" t="inlineStr">
        <x:is>
          <x:t xml:space="preserve"/>
        </x:is>
      </x:c>
      <x:c r="AD20" t="inlineStr">
        <x:is>
          <x:t xml:space="preserve">Synthetic - CIE training only</x:t>
        </x:is>
      </x:c>
    </x:row>
    <x:row r="21">
      <x:c r="A21" t="inlineStr">
        <x:is>
          <x:t xml:space="preserve">FIN-0016</x:t>
        </x:is>
      </x:c>
      <x:c r="B21" t="inlineStr">
        <x:is>
          <x:t xml:space="preserve">P07 Jul-2026</x:t>
        </x:is>
      </x:c>
      <x:c r="C21" s="10" t="n">
        <x:v>46234</x:v>
      </x:c>
      <x:c r="D21" t="inlineStr">
        <x:is>
          <x:t xml:space="preserve">Region Atlas</x:t>
        </x:is>
      </x:c>
      <x:c r="E21" t="inlineStr">
        <x:is>
          <x:t xml:space="preserve">Eastvale</x:t>
        </x:is>
      </x:c>
      <x:c r="F21" t="inlineStr">
        <x:is>
          <x:t xml:space="preserve">Digital &amp; IT</x:t>
        </x:is>
      </x:c>
      <x:c r="G21" t="inlineStr">
        <x:is>
          <x:t xml:space="preserve">EV-DIT-500</x:t>
        </x:is>
      </x:c>
      <x:c r="H21" t="inlineStr">
        <x:is>
          <x:t xml:space="preserve">Digital &amp; IT Cost</x:t>
        </x:is>
      </x:c>
      <x:c r="I21" t="inlineStr">
        <x:is>
          <x:t xml:space="preserve">Cost</x:t>
        </x:is>
      </x:c>
      <x:c r="J21" s="11" t="n">
        <x:v>2.45</x:v>
      </x:c>
      <x:c r="K21" s="11" t="n">
        <x:v>2.45</x:v>
      </x:c>
      <x:c r="L21" s="11" t="n">
        <x:v>2.38</x:v>
      </x:c>
      <x:c r="M21" s="11" t="n">
        <x:v>2.49</x:v>
      </x:c>
      <x:c r="N21" s="11">
        <x:f>J21-K21</x:f>
      </x:c>
      <x:c r="O21" s="12">
        <x:f>IF(K21=0,0,N21/K21)</x:f>
      </x:c>
      <x:c r="P21" s="11">
        <x:f>J21-L21</x:f>
      </x:c>
      <x:c r="Q21" s="12">
        <x:f>IF(L21=0,0,P21/L21)</x:f>
      </x:c>
      <x:c r="R21" s="11">
        <x:f>J21-M21</x:f>
      </x:c>
      <x:c r="S21" s="11">
        <x:f>IF(I21="Revenue",N21,-N21)</x:f>
      </x:c>
      <x:c r="T21">
        <x:f>IF(S21&gt;=0,"Favourable","Unfavourable")</x:f>
      </x:c>
      <x:c r="U21" s="11" t="n">
        <x:v>-0.04</x:v>
      </x:c>
      <x:c r="V21" s="11" t="n">
        <x:v>0.04</x:v>
      </x:c>
      <x:c r="W21" s="11" t="n">
        <x:v>-0.01</x:v>
      </x:c>
      <x:c r="X21" s="11" t="n">
        <x:v>0.01</x:v>
      </x:c>
      <x:c r="Y21" s="11">
        <x:f>ROUND(U21+V21+W21+X21-N21,2)</x:f>
      </x:c>
      <x:c r="Z21">
        <x:f>IF(AND(ABS(ROUND(N21,2))&gt;=0.5,ABS(O21)&gt;=0.05),"Yes","No")</x:f>
      </x:c>
      <x:c r="AA21" t="inlineStr">
        <x:is>
          <x:t xml:space="preserve">Closed actual</x:t>
        </x:is>
      </x:c>
      <x:c r="AB21" t="inlineStr">
        <x:is>
          <x:t xml:space="preserve"/>
        </x:is>
      </x:c>
      <x:c r="AC21" t="inlineStr">
        <x:is>
          <x:t xml:space="preserve"/>
        </x:is>
      </x:c>
      <x:c r="AD21" t="inlineStr">
        <x:is>
          <x:t xml:space="preserve">Synthetic - CIE training only</x:t>
        </x:is>
      </x:c>
    </x:row>
    <x:row r="22">
      <x:c r="A22" t="inlineStr">
        <x:is>
          <x:t xml:space="preserve">FIN-0017</x:t>
        </x:is>
      </x:c>
      <x:c r="B22" t="inlineStr">
        <x:is>
          <x:t xml:space="preserve">P07 Jul-2026</x:t>
        </x:is>
      </x:c>
      <x:c r="C22" s="10" t="n">
        <x:v>46234</x:v>
      </x:c>
      <x:c r="D22" t="inlineStr">
        <x:is>
          <x:t xml:space="preserve">Region Atlas</x:t>
        </x:is>
      </x:c>
      <x:c r="E22" t="inlineStr">
        <x:is>
          <x:t xml:space="preserve">Eastvale</x:t>
        </x:is>
      </x:c>
      <x:c r="F22" t="inlineStr">
        <x:is>
          <x:t xml:space="preserve">Finance</x:t>
        </x:is>
      </x:c>
      <x:c r="G22" t="inlineStr">
        <x:is>
          <x:t xml:space="preserve">EV-FIN-600</x:t>
        </x:is>
      </x:c>
      <x:c r="H22" t="inlineStr">
        <x:is>
          <x:t xml:space="preserve">General &amp; Admin Cost</x:t>
        </x:is>
      </x:c>
      <x:c r="I22" t="inlineStr">
        <x:is>
          <x:t xml:space="preserve">Cost</x:t>
        </x:is>
      </x:c>
      <x:c r="J22" s="11" t="n">
        <x:v>1.86</x:v>
      </x:c>
      <x:c r="K22" s="11" t="n">
        <x:v>1.92</x:v>
      </x:c>
      <x:c r="L22" s="11" t="n">
        <x:v>1.83</x:v>
      </x:c>
      <x:c r="M22" s="11" t="n">
        <x:v>1.84</x:v>
      </x:c>
      <x:c r="N22" s="11">
        <x:f>J22-K22</x:f>
      </x:c>
      <x:c r="O22" s="12">
        <x:f>IF(K22=0,0,N22/K22)</x:f>
      </x:c>
      <x:c r="P22" s="11">
        <x:f>J22-L22</x:f>
      </x:c>
      <x:c r="Q22" s="12">
        <x:f>IF(L22=0,0,P22/L22)</x:f>
      </x:c>
      <x:c r="R22" s="11">
        <x:f>J22-M22</x:f>
      </x:c>
      <x:c r="S22" s="11">
        <x:f>IF(I22="Revenue",N22,-N22)</x:f>
      </x:c>
      <x:c r="T22">
        <x:f>IF(S22&gt;=0,"Favourable","Unfavourable")</x:f>
      </x:c>
      <x:c r="U22" s="11" t="n">
        <x:v>-0.03</x:v>
      </x:c>
      <x:c r="V22" s="11" t="n">
        <x:v>-0.04</x:v>
      </x:c>
      <x:c r="W22" s="11" t="n">
        <x:v>0.01</x:v>
      </x:c>
      <x:c r="X22" s="11" t="n">
        <x:v>0</x:v>
      </x:c>
      <x:c r="Y22" s="11">
        <x:f>ROUND(U22+V22+W22+X22-N22,2)</x:f>
      </x:c>
      <x:c r="Z22">
        <x:f>IF(AND(ABS(ROUND(N22,2))&gt;=0.5,ABS(O22)&gt;=0.05),"Yes","No")</x:f>
      </x:c>
      <x:c r="AA22" t="inlineStr">
        <x:is>
          <x:t xml:space="preserve">Closed actual</x:t>
        </x:is>
      </x:c>
      <x:c r="AB22" t="inlineStr">
        <x:is>
          <x:t xml:space="preserve"/>
        </x:is>
      </x:c>
      <x:c r="AC22" t="inlineStr">
        <x:is>
          <x:t xml:space="preserve"/>
        </x:is>
      </x:c>
      <x:c r="AD22" t="inlineStr">
        <x:is>
          <x:t xml:space="preserve">Synthetic - CIE training only</x:t>
        </x:is>
      </x:c>
    </x:row>
    <x:row r="23">
      <x:c r="A23" t="inlineStr">
        <x:is>
          <x:t xml:space="preserve">FIN-0018</x:t>
        </x:is>
      </x:c>
      <x:c r="B23" t="inlineStr">
        <x:is>
          <x:t xml:space="preserve">P07 Jul-2026</x:t>
        </x:is>
      </x:c>
      <x:c r="C23" s="10" t="n">
        <x:v>46234</x:v>
      </x:c>
      <x:c r="D23" t="inlineStr">
        <x:is>
          <x:t xml:space="preserve">Region Atlas</x:t>
        </x:is>
      </x:c>
      <x:c r="E23" t="inlineStr">
        <x:is>
          <x:t xml:space="preserve">Eastvale</x:t>
        </x:is>
      </x:c>
      <x:c r="F23" t="inlineStr">
        <x:is>
          <x:t xml:space="preserve">Operations</x:t>
        </x:is>
      </x:c>
      <x:c r="G23" t="inlineStr">
        <x:is>
          <x:t xml:space="preserve">EV-OPS-210</x:t>
        </x:is>
      </x:c>
      <x:c r="H23" t="inlineStr">
        <x:is>
          <x:t xml:space="preserve">Facilities Cost</x:t>
        </x:is>
      </x:c>
      <x:c r="I23" t="inlineStr">
        <x:is>
          <x:t xml:space="preserve">Cost</x:t>
        </x:is>
      </x:c>
      <x:c r="J23" s="11" t="n">
        <x:v>1.16</x:v>
      </x:c>
      <x:c r="K23" s="11" t="n">
        <x:v>1.19</x:v>
      </x:c>
      <x:c r="L23" s="11" t="n">
        <x:v>1.14</x:v>
      </x:c>
      <x:c r="M23" s="11" t="n">
        <x:v>1.17</x:v>
      </x:c>
      <x:c r="N23" s="11">
        <x:f>J23-K23</x:f>
      </x:c>
      <x:c r="O23" s="12">
        <x:f>IF(K23=0,0,N23/K23)</x:f>
      </x:c>
      <x:c r="P23" s="11">
        <x:f>J23-L23</x:f>
      </x:c>
      <x:c r="Q23" s="12">
        <x:f>IF(L23=0,0,P23/L23)</x:f>
      </x:c>
      <x:c r="R23" s="11">
        <x:f>J23-M23</x:f>
      </x:c>
      <x:c r="S23" s="11">
        <x:f>IF(I23="Revenue",N23,-N23)</x:f>
      </x:c>
      <x:c r="T23">
        <x:f>IF(S23&gt;=0,"Favourable","Unfavourable")</x:f>
      </x:c>
      <x:c r="U23" s="11" t="n">
        <x:v>-0.02</x:v>
      </x:c>
      <x:c r="V23" s="11" t="n">
        <x:v>-0.01</x:v>
      </x:c>
      <x:c r="W23" s="11" t="n">
        <x:v>0</x:v>
      </x:c>
      <x:c r="X23" s="11" t="n">
        <x:v>0</x:v>
      </x:c>
      <x:c r="Y23" s="11">
        <x:f>ROUND(U23+V23+W23+X23-N23,2)</x:f>
      </x:c>
      <x:c r="Z23">
        <x:f>IF(AND(ABS(ROUND(N23,2))&gt;=0.5,ABS(O23)&gt;=0.05),"Yes","No")</x:f>
      </x:c>
      <x:c r="AA23" t="inlineStr">
        <x:is>
          <x:t xml:space="preserve">Closed actual</x:t>
        </x:is>
      </x:c>
      <x:c r="AB23" t="inlineStr">
        <x:is>
          <x:t xml:space="preserve"/>
        </x:is>
      </x:c>
      <x:c r="AC23" t="inlineStr">
        <x:is>
          <x:t xml:space="preserve"/>
        </x:is>
      </x:c>
      <x:c r="AD23" t="inlineStr">
        <x:is>
          <x:t xml:space="preserve">Synthetic - CIE training only</x:t>
        </x:is>
      </x:c>
    </x:row>
    <x:row r="24">
      <x:c r="A24" t="inlineStr">
        <x:is>
          <x:t xml:space="preserve">FIN-0019</x:t>
        </x:is>
      </x:c>
      <x:c r="B24" t="inlineStr">
        <x:is>
          <x:t xml:space="preserve">P07 Jul-2026</x:t>
        </x:is>
      </x:c>
      <x:c r="C24" s="10" t="n">
        <x:v>46234</x:v>
      </x:c>
      <x:c r="D24" t="inlineStr">
        <x:is>
          <x:t xml:space="preserve">Region Atlas</x:t>
        </x:is>
      </x:c>
      <x:c r="E24" t="inlineStr">
        <x:is>
          <x:t xml:space="preserve">Southport</x:t>
        </x:is>
      </x:c>
      <x:c r="F24" t="inlineStr">
        <x:is>
          <x:t xml:space="preserve">Commercial</x:t>
        </x:is>
      </x:c>
      <x:c r="G24" t="inlineStr">
        <x:is>
          <x:t xml:space="preserve">SP-COM-100</x:t>
        </x:is>
      </x:c>
      <x:c r="H24" t="inlineStr">
        <x:is>
          <x:t xml:space="preserve">Net Revenue</x:t>
        </x:is>
      </x:c>
      <x:c r="I24" t="inlineStr">
        <x:is>
          <x:t xml:space="preserve">Revenue</x:t>
        </x:is>
      </x:c>
      <x:c r="J24" s="11" t="n">
        <x:v>52.86</x:v>
      </x:c>
      <x:c r="K24" s="11" t="n">
        <x:v>55.36</x:v>
      </x:c>
      <x:c r="L24" s="11" t="n">
        <x:v>52.71</x:v>
      </x:c>
      <x:c r="M24" s="11" t="n">
        <x:v>52.85</x:v>
      </x:c>
      <x:c r="N24" s="11">
        <x:f>J24-K24</x:f>
      </x:c>
      <x:c r="O24" s="12">
        <x:f>IF(K24=0,0,N24/K24)</x:f>
      </x:c>
      <x:c r="P24" s="11">
        <x:f>J24-L24</x:f>
      </x:c>
      <x:c r="Q24" s="12">
        <x:f>IF(L24=0,0,P24/L24)</x:f>
      </x:c>
      <x:c r="R24" s="11">
        <x:f>J24-M24</x:f>
      </x:c>
      <x:c r="S24" s="11">
        <x:f>IF(I24="Revenue",N24,-N24)</x:f>
      </x:c>
      <x:c r="T24">
        <x:f>IF(S24&gt;=0,"Favourable","Unfavourable")</x:f>
      </x:c>
      <x:c r="U24" s="11" t="n">
        <x:v>0.99</x:v>
      </x:c>
      <x:c r="V24" s="11" t="n">
        <x:v>0.61</x:v>
      </x:c>
      <x:c r="W24" s="11" t="n">
        <x:v>-4.1</x:v>
      </x:c>
      <x:c r="X24" s="11" t="n">
        <x:v>0</x:v>
      </x:c>
      <x:c r="Y24" s="11">
        <x:f>ROUND(U24+V24+W24+X24-N24,2)</x:f>
      </x:c>
      <x:c r="Z24">
        <x:f>IF(AND(ABS(ROUND(N24,2))&gt;=0.5,ABS(O24)&gt;=0.05),"Yes","No")</x:f>
      </x:c>
      <x:c r="AA24" t="inlineStr">
        <x:is>
          <x:t xml:space="preserve">Closed actual</x:t>
        </x:is>
      </x:c>
      <x:c r="AB24" t="inlineStr">
        <x:is>
          <x:t xml:space="preserve">Local currency weaker than budget rate; Q4 rate basis to be confirmed by Treasury</x:t>
        </x:is>
      </x:c>
      <x:c r="AC24" t="inlineStr">
        <x:is>
          <x:t xml:space="preserve"/>
        </x:is>
      </x:c>
      <x:c r="AD24" t="inlineStr">
        <x:is>
          <x:t xml:space="preserve">Synthetic - CIE training only</x:t>
        </x:is>
      </x:c>
    </x:row>
    <x:row r="25">
      <x:c r="A25" t="inlineStr">
        <x:is>
          <x:t xml:space="preserve">FIN-0020</x:t>
        </x:is>
      </x:c>
      <x:c r="B25" t="inlineStr">
        <x:is>
          <x:t xml:space="preserve">P07 Jul-2026</x:t>
        </x:is>
      </x:c>
      <x:c r="C25" s="10" t="n">
        <x:v>46234</x:v>
      </x:c>
      <x:c r="D25" t="inlineStr">
        <x:is>
          <x:t xml:space="preserve">Region Atlas</x:t>
        </x:is>
      </x:c>
      <x:c r="E25" t="inlineStr">
        <x:is>
          <x:t xml:space="preserve">Southport</x:t>
        </x:is>
      </x:c>
      <x:c r="F25" t="inlineStr">
        <x:is>
          <x:t xml:space="preserve">Finance</x:t>
        </x:is>
      </x:c>
      <x:c r="G25" t="inlineStr">
        <x:is>
          <x:t xml:space="preserve">SP-FIN-900</x:t>
        </x:is>
      </x:c>
      <x:c r="H25" t="inlineStr">
        <x:is>
          <x:t xml:space="preserve">Other Operating Income</x:t>
        </x:is>
      </x:c>
      <x:c r="I25" t="inlineStr">
        <x:is>
          <x:t xml:space="preserve">Revenue</x:t>
        </x:is>
      </x:c>
      <x:c r="J25" s="11" t="n">
        <x:v>1.45</x:v>
      </x:c>
      <x:c r="K25" s="11" t="n">
        <x:v>1.43</x:v>
      </x:c>
      <x:c r="L25" s="11" t="n">
        <x:v>1.39</x:v>
      </x:c>
      <x:c r="M25" s="11" t="n">
        <x:v>1.43</x:v>
      </x:c>
      <x:c r="N25" s="11">
        <x:f>J25-K25</x:f>
      </x:c>
      <x:c r="O25" s="12">
        <x:f>IF(K25=0,0,N25/K25)</x:f>
      </x:c>
      <x:c r="P25" s="11">
        <x:f>J25-L25</x:f>
      </x:c>
      <x:c r="Q25" s="12">
        <x:f>IF(L25=0,0,P25/L25)</x:f>
      </x:c>
      <x:c r="R25" s="11">
        <x:f>J25-M25</x:f>
      </x:c>
      <x:c r="S25" s="11">
        <x:f>IF(I25="Revenue",N25,-N25)</x:f>
      </x:c>
      <x:c r="T25">
        <x:f>IF(S25&gt;=0,"Favourable","Unfavourable")</x:f>
      </x:c>
      <x:c r="U25" s="11" t="n">
        <x:v>0</x:v>
      </x:c>
      <x:c r="V25" s="11" t="n">
        <x:v>0.02</x:v>
      </x:c>
      <x:c r="W25" s="11" t="n">
        <x:v>0</x:v>
      </x:c>
      <x:c r="X25" s="11" t="n">
        <x:v>0</x:v>
      </x:c>
      <x:c r="Y25" s="11">
        <x:f>ROUND(U25+V25+W25+X25-N25,2)</x:f>
      </x:c>
      <x:c r="Z25">
        <x:f>IF(AND(ABS(ROUND(N25,2))&gt;=0.5,ABS(O25)&gt;=0.05),"Yes","No")</x:f>
      </x:c>
      <x:c r="AA25" t="inlineStr">
        <x:is>
          <x:t xml:space="preserve">Closed actual</x:t>
        </x:is>
      </x:c>
      <x:c r="AB25" t="inlineStr">
        <x:is>
          <x:t xml:space="preserve"/>
        </x:is>
      </x:c>
      <x:c r="AC25" t="inlineStr">
        <x:is>
          <x:t xml:space="preserve"/>
        </x:is>
      </x:c>
      <x:c r="AD25" t="inlineStr">
        <x:is>
          <x:t xml:space="preserve">Synthetic - CIE training only</x:t>
        </x:is>
      </x:c>
    </x:row>
    <x:row r="26">
      <x:c r="A26" t="inlineStr">
        <x:is>
          <x:t xml:space="preserve">FIN-0021</x:t>
        </x:is>
      </x:c>
      <x:c r="B26" t="inlineStr">
        <x:is>
          <x:t xml:space="preserve">P07 Jul-2026</x:t>
        </x:is>
      </x:c>
      <x:c r="C26" s="10" t="n">
        <x:v>46234</x:v>
      </x:c>
      <x:c r="D26" t="inlineStr">
        <x:is>
          <x:t xml:space="preserve">Region Atlas</x:t>
        </x:is>
      </x:c>
      <x:c r="E26" t="inlineStr">
        <x:is>
          <x:t xml:space="preserve">Southport</x:t>
        </x:is>
      </x:c>
      <x:c r="F26" t="inlineStr">
        <x:is>
          <x:t xml:space="preserve">Operations</x:t>
        </x:is>
      </x:c>
      <x:c r="G26" t="inlineStr">
        <x:is>
          <x:t xml:space="preserve">SP-OPS-200</x:t>
        </x:is>
      </x:c>
      <x:c r="H26" t="inlineStr">
        <x:is>
          <x:t xml:space="preserve">Cost of Goods Sold</x:t>
        </x:is>
      </x:c>
      <x:c r="I26" t="inlineStr">
        <x:is>
          <x:t xml:space="preserve">Cost</x:t>
        </x:is>
      </x:c>
      <x:c r="J26" s="11" t="n">
        <x:v>20.06</x:v>
      </x:c>
      <x:c r="K26" s="11" t="n">
        <x:v>19.58</x:v>
      </x:c>
      <x:c r="L26" s="11" t="n">
        <x:v>19.22</x:v>
      </x:c>
      <x:c r="M26" s="11" t="n">
        <x:v>19.7</x:v>
      </x:c>
      <x:c r="N26" s="11">
        <x:f>J26-K26</x:f>
      </x:c>
      <x:c r="O26" s="12">
        <x:f>IF(K26=0,0,N26/K26)</x:f>
      </x:c>
      <x:c r="P26" s="11">
        <x:f>J26-L26</x:f>
      </x:c>
      <x:c r="Q26" s="12">
        <x:f>IF(L26=0,0,P26/L26)</x:f>
      </x:c>
      <x:c r="R26" s="11">
        <x:f>J26-M26</x:f>
      </x:c>
      <x:c r="S26" s="11">
        <x:f>IF(I26="Revenue",N26,-N26)</x:f>
      </x:c>
      <x:c r="T26">
        <x:f>IF(S26&gt;=0,"Favourable","Unfavourable")</x:f>
      </x:c>
      <x:c r="U26" s="11" t="n">
        <x:v>0.76</x:v>
      </x:c>
      <x:c r="V26" s="11" t="n">
        <x:v>-0.3</x:v>
      </x:c>
      <x:c r="W26" s="11" t="n">
        <x:v>0.14</x:v>
      </x:c>
      <x:c r="X26" s="11" t="n">
        <x:v>-0.12</x:v>
      </x:c>
      <x:c r="Y26" s="11">
        <x:f>ROUND(U26+V26+W26+X26-N26,2)</x:f>
      </x:c>
      <x:c r="Z26">
        <x:f>IF(AND(ABS(ROUND(N26,2))&gt;=0.5,ABS(O26)&gt;=0.05),"Yes","No")</x:f>
      </x:c>
      <x:c r="AA26" t="inlineStr">
        <x:is>
          <x:t xml:space="preserve">Closed actual</x:t>
        </x:is>
      </x:c>
      <x:c r="AB26" t="inlineStr">
        <x:is>
          <x:t xml:space="preserve"/>
        </x:is>
      </x:c>
      <x:c r="AC26" t="inlineStr">
        <x:is>
          <x:t xml:space="preserve"/>
        </x:is>
      </x:c>
      <x:c r="AD26" t="inlineStr">
        <x:is>
          <x:t xml:space="preserve">Synthetic - CIE training only</x:t>
        </x:is>
      </x:c>
    </x:row>
    <x:row r="27">
      <x:c r="A27" t="inlineStr">
        <x:is>
          <x:t xml:space="preserve">FIN-0022</x:t>
        </x:is>
      </x:c>
      <x:c r="B27" t="inlineStr">
        <x:is>
          <x:t xml:space="preserve">P07 Jul-2026</x:t>
        </x:is>
      </x:c>
      <x:c r="C27" s="10" t="n">
        <x:v>46234</x:v>
      </x:c>
      <x:c r="D27" t="inlineStr">
        <x:is>
          <x:t xml:space="preserve">Region Atlas</x:t>
        </x:is>
      </x:c>
      <x:c r="E27" t="inlineStr">
        <x:is>
          <x:t xml:space="preserve">Southport</x:t>
        </x:is>
      </x:c>
      <x:c r="F27" t="inlineStr">
        <x:is>
          <x:t xml:space="preserve">Supply Chain</x:t>
        </x:is>
      </x:c>
      <x:c r="G27" t="inlineStr">
        <x:is>
          <x:t xml:space="preserve">SP-SCM-300</x:t>
        </x:is>
      </x:c>
      <x:c r="H27" t="inlineStr">
        <x:is>
          <x:t xml:space="preserve">Logistics &amp; Distribution</x:t>
        </x:is>
      </x:c>
      <x:c r="I27" t="inlineStr">
        <x:is>
          <x:t xml:space="preserve">Cost</x:t>
        </x:is>
      </x:c>
      <x:c r="J27" s="11" t="n">
        <x:v>4.01</x:v>
      </x:c>
      <x:c r="K27" s="11" t="n">
        <x:v>4.05</x:v>
      </x:c>
      <x:c r="L27" s="11" t="n">
        <x:v>3.96</x:v>
      </x:c>
      <x:c r="M27" s="11" t="n">
        <x:v>3.87</x:v>
      </x:c>
      <x:c r="N27" s="11">
        <x:f>J27-K27</x:f>
      </x:c>
      <x:c r="O27" s="12">
        <x:f>IF(K27=0,0,N27/K27)</x:f>
      </x:c>
      <x:c r="P27" s="11">
        <x:f>J27-L27</x:f>
      </x:c>
      <x:c r="Q27" s="12">
        <x:f>IF(L27=0,0,P27/L27)</x:f>
      </x:c>
      <x:c r="R27" s="11">
        <x:f>J27-M27</x:f>
      </x:c>
      <x:c r="S27" s="11">
        <x:f>IF(I27="Revenue",N27,-N27)</x:f>
      </x:c>
      <x:c r="T27">
        <x:f>IF(S27&gt;=0,"Favourable","Unfavourable")</x:f>
      </x:c>
      <x:c r="U27" s="11" t="n">
        <x:v>-0.07000000000000001</x:v>
      </x:c>
      <x:c r="V27" s="11" t="n">
        <x:v>0.02</x:v>
      </x:c>
      <x:c r="W27" s="11" t="n">
        <x:v>0.03</x:v>
      </x:c>
      <x:c r="X27" s="11" t="n">
        <x:v>-0.02</x:v>
      </x:c>
      <x:c r="Y27" s="11">
        <x:f>ROUND(U27+V27+W27+X27-N27,2)</x:f>
      </x:c>
      <x:c r="Z27">
        <x:f>IF(AND(ABS(ROUND(N27,2))&gt;=0.5,ABS(O27)&gt;=0.05),"Yes","No")</x:f>
      </x:c>
      <x:c r="AA27" t="inlineStr">
        <x:is>
          <x:t xml:space="preserve">Closed actual</x:t>
        </x:is>
      </x:c>
      <x:c r="AB27" t="inlineStr">
        <x:is>
          <x:t xml:space="preserve"/>
        </x:is>
      </x:c>
      <x:c r="AC27" t="inlineStr">
        <x:is>
          <x:t xml:space="preserve"/>
        </x:is>
      </x:c>
      <x:c r="AD27" t="inlineStr">
        <x:is>
          <x:t xml:space="preserve">Synthetic - CIE training only</x:t>
        </x:is>
      </x:c>
    </x:row>
    <x:row r="28">
      <x:c r="A28" t="inlineStr">
        <x:is>
          <x:t xml:space="preserve">FIN-0023</x:t>
        </x:is>
      </x:c>
      <x:c r="B28" t="inlineStr">
        <x:is>
          <x:t xml:space="preserve">P07 Jul-2026</x:t>
        </x:is>
      </x:c>
      <x:c r="C28" s="10" t="n">
        <x:v>46234</x:v>
      </x:c>
      <x:c r="D28" t="inlineStr">
        <x:is>
          <x:t xml:space="preserve">Region Atlas</x:t>
        </x:is>
      </x:c>
      <x:c r="E28" t="inlineStr">
        <x:is>
          <x:t xml:space="preserve">Southport</x:t>
        </x:is>
      </x:c>
      <x:c r="F28" t="inlineStr">
        <x:is>
          <x:t xml:space="preserve">Marketing</x:t>
        </x:is>
      </x:c>
      <x:c r="G28" t="inlineStr">
        <x:is>
          <x:t xml:space="preserve">SP-MKT-400</x:t>
        </x:is>
      </x:c>
      <x:c r="H28" t="inlineStr">
        <x:is>
          <x:t xml:space="preserve">Trade Marketing Investment</x:t>
        </x:is>
      </x:c>
      <x:c r="I28" t="inlineStr">
        <x:is>
          <x:t xml:space="preserve">Cost</x:t>
        </x:is>
      </x:c>
      <x:c r="J28" s="11" t="n">
        <x:v>5.47</x:v>
      </x:c>
      <x:c r="K28" s="11" t="n">
        <x:v>5.48</x:v>
      </x:c>
      <x:c r="L28" s="11" t="n">
        <x:v>5.35</x:v>
      </x:c>
      <x:c r="M28" s="11" t="n">
        <x:v>5.47</x:v>
      </x:c>
      <x:c r="N28" s="11">
        <x:f>J28-K28</x:f>
      </x:c>
      <x:c r="O28" s="12">
        <x:f>IF(K28=0,0,N28/K28)</x:f>
      </x:c>
      <x:c r="P28" s="11">
        <x:f>J28-L28</x:f>
      </x:c>
      <x:c r="Q28" s="12">
        <x:f>IF(L28=0,0,P28/L28)</x:f>
      </x:c>
      <x:c r="R28" s="11">
        <x:f>J28-M28</x:f>
      </x:c>
      <x:c r="S28" s="11">
        <x:f>IF(I28="Revenue",N28,-N28)</x:f>
      </x:c>
      <x:c r="T28">
        <x:f>IF(S28&gt;=0,"Favourable","Unfavourable")</x:f>
      </x:c>
      <x:c r="U28" s="11" t="n">
        <x:v>0.02</x:v>
      </x:c>
      <x:c r="V28" s="11" t="n">
        <x:v>0.04</x:v>
      </x:c>
      <x:c r="W28" s="11" t="n">
        <x:v>-0.04</x:v>
      </x:c>
      <x:c r="X28" s="11" t="n">
        <x:v>-0.03</x:v>
      </x:c>
      <x:c r="Y28" s="11">
        <x:f>ROUND(U28+V28+W28+X28-N28,2)</x:f>
      </x:c>
      <x:c r="Z28">
        <x:f>IF(AND(ABS(ROUND(N28,2))&gt;=0.5,ABS(O28)&gt;=0.05),"Yes","No")</x:f>
      </x:c>
      <x:c r="AA28" t="inlineStr">
        <x:is>
          <x:t xml:space="preserve">Closed actual</x:t>
        </x:is>
      </x:c>
      <x:c r="AB28" t="inlineStr">
        <x:is>
          <x:t xml:space="preserve"/>
        </x:is>
      </x:c>
      <x:c r="AC28" t="inlineStr">
        <x:is>
          <x:t xml:space="preserve"/>
        </x:is>
      </x:c>
      <x:c r="AD28" t="inlineStr">
        <x:is>
          <x:t xml:space="preserve">Synthetic - CIE training only</x:t>
        </x:is>
      </x:c>
    </x:row>
    <x:row r="29">
      <x:c r="A29" t="inlineStr">
        <x:is>
          <x:t xml:space="preserve">FIN-0024</x:t>
        </x:is>
      </x:c>
      <x:c r="B29" t="inlineStr">
        <x:is>
          <x:t xml:space="preserve">P07 Jul-2026</x:t>
        </x:is>
      </x:c>
      <x:c r="C29" s="10" t="n">
        <x:v>46234</x:v>
      </x:c>
      <x:c r="D29" t="inlineStr">
        <x:is>
          <x:t xml:space="preserve">Region Atlas</x:t>
        </x:is>
      </x:c>
      <x:c r="E29" t="inlineStr">
        <x:is>
          <x:t xml:space="preserve">Southport</x:t>
        </x:is>
      </x:c>
      <x:c r="F29" t="inlineStr">
        <x:is>
          <x:t xml:space="preserve">Commercial</x:t>
        </x:is>
      </x:c>
      <x:c r="G29" t="inlineStr">
        <x:is>
          <x:t xml:space="preserve">SP-COM-110</x:t>
        </x:is>
      </x:c>
      <x:c r="H29" t="inlineStr">
        <x:is>
          <x:t xml:space="preserve">Sales Force Cost</x:t>
        </x:is>
      </x:c>
      <x:c r="I29" t="inlineStr">
        <x:is>
          <x:t xml:space="preserve">Cost</x:t>
        </x:is>
      </x:c>
      <x:c r="J29" s="11" t="n">
        <x:v>3.17</x:v>
      </x:c>
      <x:c r="K29" s="11" t="n">
        <x:v>3.18</x:v>
      </x:c>
      <x:c r="L29" s="11" t="n">
        <x:v>3.13</x:v>
      </x:c>
      <x:c r="M29" s="11" t="n">
        <x:v>3.16</x:v>
      </x:c>
      <x:c r="N29" s="11">
        <x:f>J29-K29</x:f>
      </x:c>
      <x:c r="O29" s="12">
        <x:f>IF(K29=0,0,N29/K29)</x:f>
      </x:c>
      <x:c r="P29" s="11">
        <x:f>J29-L29</x:f>
      </x:c>
      <x:c r="Q29" s="12">
        <x:f>IF(L29=0,0,P29/L29)</x:f>
      </x:c>
      <x:c r="R29" s="11">
        <x:f>J29-M29</x:f>
      </x:c>
      <x:c r="S29" s="11">
        <x:f>IF(I29="Revenue",N29,-N29)</x:f>
      </x:c>
      <x:c r="T29">
        <x:f>IF(S29&gt;=0,"Favourable","Unfavourable")</x:f>
      </x:c>
      <x:c r="U29" s="11" t="n">
        <x:v>0.03</x:v>
      </x:c>
      <x:c r="V29" s="11" t="n">
        <x:v>-0.03</x:v>
      </x:c>
      <x:c r="W29" s="11" t="n">
        <x:v>-0.01</x:v>
      </x:c>
      <x:c r="X29" s="11" t="n">
        <x:v>0</x:v>
      </x:c>
      <x:c r="Y29" s="11">
        <x:f>ROUND(U29+V29+W29+X29-N29,2)</x:f>
      </x:c>
      <x:c r="Z29">
        <x:f>IF(AND(ABS(ROUND(N29,2))&gt;=0.5,ABS(O29)&gt;=0.05),"Yes","No")</x:f>
      </x:c>
      <x:c r="AA29" t="inlineStr">
        <x:is>
          <x:t xml:space="preserve">Closed actual</x:t>
        </x:is>
      </x:c>
      <x:c r="AB29" t="inlineStr">
        <x:is>
          <x:t xml:space="preserve"/>
        </x:is>
      </x:c>
      <x:c r="AC29" t="inlineStr">
        <x:is>
          <x:t xml:space="preserve"/>
        </x:is>
      </x:c>
      <x:c r="AD29" t="inlineStr">
        <x:is>
          <x:t xml:space="preserve">Synthetic - CIE training only</x:t>
        </x:is>
      </x:c>
    </x:row>
    <x:row r="30">
      <x:c r="A30" t="inlineStr">
        <x:is>
          <x:t xml:space="preserve">FIN-0025</x:t>
        </x:is>
      </x:c>
      <x:c r="B30" t="inlineStr">
        <x:is>
          <x:t xml:space="preserve">P07 Jul-2026</x:t>
        </x:is>
      </x:c>
      <x:c r="C30" s="10" t="n">
        <x:v>46234</x:v>
      </x:c>
      <x:c r="D30" t="inlineStr">
        <x:is>
          <x:t xml:space="preserve">Region Atlas</x:t>
        </x:is>
      </x:c>
      <x:c r="E30" t="inlineStr">
        <x:is>
          <x:t xml:space="preserve">Southport</x:t>
        </x:is>
      </x:c>
      <x:c r="F30" t="inlineStr">
        <x:is>
          <x:t xml:space="preserve">Digital &amp; IT</x:t>
        </x:is>
      </x:c>
      <x:c r="G30" t="inlineStr">
        <x:is>
          <x:t xml:space="preserve">SP-DIT-500</x:t>
        </x:is>
      </x:c>
      <x:c r="H30" t="inlineStr">
        <x:is>
          <x:t xml:space="preserve">Digital &amp; IT Cost</x:t>
        </x:is>
      </x:c>
      <x:c r="I30" t="inlineStr">
        <x:is>
          <x:t xml:space="preserve">Cost</x:t>
        </x:is>
      </x:c>
      <x:c r="J30" s="11" t="n">
        <x:v>2.26</x:v>
      </x:c>
      <x:c r="K30" s="11" t="n">
        <x:v>2.31</x:v>
      </x:c>
      <x:c r="L30" s="11" t="n">
        <x:v>2.18</x:v>
      </x:c>
      <x:c r="M30" s="11" t="n">
        <x:v>2.23</x:v>
      </x:c>
      <x:c r="N30" s="11">
        <x:f>J30-K30</x:f>
      </x:c>
      <x:c r="O30" s="12">
        <x:f>IF(K30=0,0,N30/K30)</x:f>
      </x:c>
      <x:c r="P30" s="11">
        <x:f>J30-L30</x:f>
      </x:c>
      <x:c r="Q30" s="12">
        <x:f>IF(L30=0,0,P30/L30)</x:f>
      </x:c>
      <x:c r="R30" s="11">
        <x:f>J30-M30</x:f>
      </x:c>
      <x:c r="S30" s="11">
        <x:f>IF(I30="Revenue",N30,-N30)</x:f>
      </x:c>
      <x:c r="T30">
        <x:f>IF(S30&gt;=0,"Favourable","Unfavourable")</x:f>
      </x:c>
      <x:c r="U30" s="11" t="n">
        <x:v>-0.03</x:v>
      </x:c>
      <x:c r="V30" s="11" t="n">
        <x:v>-0.02</x:v>
      </x:c>
      <x:c r="W30" s="11" t="n">
        <x:v>-0.02</x:v>
      </x:c>
      <x:c r="X30" s="11" t="n">
        <x:v>0.02</x:v>
      </x:c>
      <x:c r="Y30" s="11">
        <x:f>ROUND(U30+V30+W30+X30-N30,2)</x:f>
      </x:c>
      <x:c r="Z30">
        <x:f>IF(AND(ABS(ROUND(N30,2))&gt;=0.5,ABS(O30)&gt;=0.05),"Yes","No")</x:f>
      </x:c>
      <x:c r="AA30" t="inlineStr">
        <x:is>
          <x:t xml:space="preserve">Closed actual</x:t>
        </x:is>
      </x:c>
      <x:c r="AB30" t="inlineStr">
        <x:is>
          <x:t xml:space="preserve"/>
        </x:is>
      </x:c>
      <x:c r="AC30" t="inlineStr">
        <x:is>
          <x:t xml:space="preserve"/>
        </x:is>
      </x:c>
      <x:c r="AD30" t="inlineStr">
        <x:is>
          <x:t xml:space="preserve">Synthetic - CIE training only</x:t>
        </x:is>
      </x:c>
    </x:row>
    <x:row r="31">
      <x:c r="A31" t="inlineStr">
        <x:is>
          <x:t xml:space="preserve">FIN-0026</x:t>
        </x:is>
      </x:c>
      <x:c r="B31" t="inlineStr">
        <x:is>
          <x:t xml:space="preserve">P07 Jul-2026</x:t>
        </x:is>
      </x:c>
      <x:c r="C31" s="10" t="n">
        <x:v>46234</x:v>
      </x:c>
      <x:c r="D31" t="inlineStr">
        <x:is>
          <x:t xml:space="preserve">Region Atlas</x:t>
        </x:is>
      </x:c>
      <x:c r="E31" t="inlineStr">
        <x:is>
          <x:t xml:space="preserve">Southport</x:t>
        </x:is>
      </x:c>
      <x:c r="F31" t="inlineStr">
        <x:is>
          <x:t xml:space="preserve">Finance</x:t>
        </x:is>
      </x:c>
      <x:c r="G31" t="inlineStr">
        <x:is>
          <x:t xml:space="preserve">SP-FIN-600</x:t>
        </x:is>
      </x:c>
      <x:c r="H31" t="inlineStr">
        <x:is>
          <x:t xml:space="preserve">General &amp; Admin Cost</x:t>
        </x:is>
      </x:c>
      <x:c r="I31" t="inlineStr">
        <x:is>
          <x:t xml:space="preserve">Cost</x:t>
        </x:is>
      </x:c>
      <x:c r="J31" s="11" t="n">
        <x:v>1.78</x:v>
      </x:c>
      <x:c r="K31" s="11" t="n">
        <x:v>1.82</x:v>
      </x:c>
      <x:c r="L31" s="11" t="n">
        <x:v>1.78</x:v>
      </x:c>
      <x:c r="M31" s="11" t="n">
        <x:v>1.77</x:v>
      </x:c>
      <x:c r="N31" s="11">
        <x:f>J31-K31</x:f>
      </x:c>
      <x:c r="O31" s="12">
        <x:f>IF(K31=0,0,N31/K31)</x:f>
      </x:c>
      <x:c r="P31" s="11">
        <x:f>J31-L31</x:f>
      </x:c>
      <x:c r="Q31" s="12">
        <x:f>IF(L31=0,0,P31/L31)</x:f>
      </x:c>
      <x:c r="R31" s="11">
        <x:f>J31-M31</x:f>
      </x:c>
      <x:c r="S31" s="11">
        <x:f>IF(I31="Revenue",N31,-N31)</x:f>
      </x:c>
      <x:c r="T31">
        <x:f>IF(S31&gt;=0,"Favourable","Unfavourable")</x:f>
      </x:c>
      <x:c r="U31" s="11" t="n">
        <x:v>-0.03</x:v>
      </x:c>
      <x:c r="V31" s="11" t="n">
        <x:v>0.01</x:v>
      </x:c>
      <x:c r="W31" s="11" t="n">
        <x:v>-0.02</x:v>
      </x:c>
      <x:c r="X31" s="11" t="n">
        <x:v>0</x:v>
      </x:c>
      <x:c r="Y31" s="11">
        <x:f>ROUND(U31+V31+W31+X31-N31,2)</x:f>
      </x:c>
      <x:c r="Z31">
        <x:f>IF(AND(ABS(ROUND(N31,2))&gt;=0.5,ABS(O31)&gt;=0.05),"Yes","No")</x:f>
      </x:c>
      <x:c r="AA31" t="inlineStr">
        <x:is>
          <x:t xml:space="preserve">Closed actual</x:t>
        </x:is>
      </x:c>
      <x:c r="AB31" t="inlineStr">
        <x:is>
          <x:t xml:space="preserve"/>
        </x:is>
      </x:c>
      <x:c r="AC31" t="inlineStr">
        <x:is>
          <x:t xml:space="preserve"/>
        </x:is>
      </x:c>
      <x:c r="AD31" t="inlineStr">
        <x:is>
          <x:t xml:space="preserve">Synthetic - CIE training only</x:t>
        </x:is>
      </x:c>
    </x:row>
    <x:row r="32">
      <x:c r="A32" t="inlineStr">
        <x:is>
          <x:t xml:space="preserve">FIN-0027</x:t>
        </x:is>
      </x:c>
      <x:c r="B32" t="inlineStr">
        <x:is>
          <x:t xml:space="preserve">P07 Jul-2026</x:t>
        </x:is>
      </x:c>
      <x:c r="C32" s="10" t="n">
        <x:v>46234</x:v>
      </x:c>
      <x:c r="D32" t="inlineStr">
        <x:is>
          <x:t xml:space="preserve">Region Atlas</x:t>
        </x:is>
      </x:c>
      <x:c r="E32" t="inlineStr">
        <x:is>
          <x:t xml:space="preserve">Southport</x:t>
        </x:is>
      </x:c>
      <x:c r="F32" t="inlineStr">
        <x:is>
          <x:t xml:space="preserve">Operations</x:t>
        </x:is>
      </x:c>
      <x:c r="G32" t="inlineStr">
        <x:is>
          <x:t xml:space="preserve">SP-OPS-210</x:t>
        </x:is>
      </x:c>
      <x:c r="H32" t="inlineStr">
        <x:is>
          <x:t xml:space="preserve">Facilities Cost</x:t>
        </x:is>
      </x:c>
      <x:c r="I32" t="inlineStr">
        <x:is>
          <x:t xml:space="preserve">Cost</x:t>
        </x:is>
      </x:c>
      <x:c r="J32" s="11" t="n">
        <x:v>1.01</x:v>
      </x:c>
      <x:c r="K32" s="11" t="n">
        <x:v>1.04</x:v>
      </x:c>
      <x:c r="L32" s="11" t="n">
        <x:v>1.03</x:v>
      </x:c>
      <x:c r="M32" s="11" t="n">
        <x:v>1.02</x:v>
      </x:c>
      <x:c r="N32" s="11">
        <x:f>J32-K32</x:f>
      </x:c>
      <x:c r="O32" s="12">
        <x:f>IF(K32=0,0,N32/K32)</x:f>
      </x:c>
      <x:c r="P32" s="11">
        <x:f>J32-L32</x:f>
      </x:c>
      <x:c r="Q32" s="12">
        <x:f>IF(L32=0,0,P32/L32)</x:f>
      </x:c>
      <x:c r="R32" s="11">
        <x:f>J32-M32</x:f>
      </x:c>
      <x:c r="S32" s="11">
        <x:f>IF(I32="Revenue",N32,-N32)</x:f>
      </x:c>
      <x:c r="T32">
        <x:f>IF(S32&gt;=0,"Favourable","Unfavourable")</x:f>
      </x:c>
      <x:c r="U32" s="11" t="n">
        <x:v>0</x:v>
      </x:c>
      <x:c r="V32" s="11" t="n">
        <x:v>-0.02</x:v>
      </x:c>
      <x:c r="W32" s="11" t="n">
        <x:v>-0.01</x:v>
      </x:c>
      <x:c r="X32" s="11" t="n">
        <x:v>0</x:v>
      </x:c>
      <x:c r="Y32" s="11">
        <x:f>ROUND(U32+V32+W32+X32-N32,2)</x:f>
      </x:c>
      <x:c r="Z32">
        <x:f>IF(AND(ABS(ROUND(N32,2))&gt;=0.5,ABS(O32)&gt;=0.05),"Yes","No")</x:f>
      </x:c>
      <x:c r="AA32" t="inlineStr">
        <x:is>
          <x:t xml:space="preserve">Closed actual</x:t>
        </x:is>
      </x:c>
      <x:c r="AB32" t="inlineStr">
        <x:is>
          <x:t xml:space="preserve"/>
        </x:is>
      </x:c>
      <x:c r="AC32" t="inlineStr">
        <x:is>
          <x:t xml:space="preserve"/>
        </x:is>
      </x:c>
      <x:c r="AD32" t="inlineStr">
        <x:is>
          <x:t xml:space="preserve">Synthetic - CIE training only</x:t>
        </x:is>
      </x:c>
    </x:row>
    <x:row r="33">
      <x:c r="A33" t="inlineStr">
        <x:is>
          <x:t xml:space="preserve">FIN-0028</x:t>
        </x:is>
      </x:c>
      <x:c r="B33" t="inlineStr">
        <x:is>
          <x:t xml:space="preserve">P07 Jul-2026</x:t>
        </x:is>
      </x:c>
      <x:c r="C33" s="10" t="n">
        <x:v>46234</x:v>
      </x:c>
      <x:c r="D33" t="inlineStr">
        <x:is>
          <x:t xml:space="preserve">Region Atlas</x:t>
        </x:is>
      </x:c>
      <x:c r="E33" t="inlineStr">
        <x:is>
          <x:t xml:space="preserve">Westbrook</x:t>
        </x:is>
      </x:c>
      <x:c r="F33" t="inlineStr">
        <x:is>
          <x:t xml:space="preserve">Commercial</x:t>
        </x:is>
      </x:c>
      <x:c r="G33" t="inlineStr">
        <x:is>
          <x:t xml:space="preserve">WB-COM-100</x:t>
        </x:is>
      </x:c>
      <x:c r="H33" t="inlineStr">
        <x:is>
          <x:t xml:space="preserve">Net Revenue</x:t>
        </x:is>
      </x:c>
      <x:c r="I33" t="inlineStr">
        <x:is>
          <x:t xml:space="preserve">Revenue</x:t>
        </x:is>
      </x:c>
      <x:c r="J33" s="11" t="n">
        <x:v>67.39</x:v>
      </x:c>
      <x:c r="K33" s="11" t="n">
        <x:v>67.66</x:v>
      </x:c>
      <x:c r="L33" s="11" t="n">
        <x:v>63.61</x:v>
      </x:c>
      <x:c r="M33" s="11" t="n">
        <x:v>66.93000000000001</x:v>
      </x:c>
      <x:c r="N33" s="11">
        <x:f>J33-K33</x:f>
      </x:c>
      <x:c r="O33" s="12">
        <x:f>IF(K33=0,0,N33/K33)</x:f>
      </x:c>
      <x:c r="P33" s="11">
        <x:f>J33-L33</x:f>
      </x:c>
      <x:c r="Q33" s="12">
        <x:f>IF(L33=0,0,P33/L33)</x:f>
      </x:c>
      <x:c r="R33" s="11">
        <x:f>J33-M33</x:f>
      </x:c>
      <x:c r="S33" s="11">
        <x:f>IF(I33="Revenue",N33,-N33)</x:f>
      </x:c>
      <x:c r="T33">
        <x:f>IF(S33&gt;=0,"Favourable","Unfavourable")</x:f>
      </x:c>
      <x:c r="U33" s="11" t="n">
        <x:v>0.4</x:v>
      </x:c>
      <x:c r="V33" s="11" t="n">
        <x:v>-0.5600000000000001</x:v>
      </x:c>
      <x:c r="W33" s="11" t="n">
        <x:v>-0.34</x:v>
      </x:c>
      <x:c r="X33" s="11" t="n">
        <x:v>0.23</x:v>
      </x:c>
      <x:c r="Y33" s="11">
        <x:f>ROUND(U33+V33+W33+X33-N33,2)</x:f>
      </x:c>
      <x:c r="Z33">
        <x:f>IF(AND(ABS(ROUND(N33,2))&gt;=0.5,ABS(O33)&gt;=0.05),"Yes","No")</x:f>
      </x:c>
      <x:c r="AA33" t="inlineStr">
        <x:is>
          <x:t xml:space="preserve">Closed actual</x:t>
        </x:is>
      </x:c>
      <x:c r="AB33" t="inlineStr">
        <x:is>
          <x:t xml:space="preserve"/>
        </x:is>
      </x:c>
      <x:c r="AC33" t="inlineStr">
        <x:is>
          <x:t xml:space="preserve"/>
        </x:is>
      </x:c>
      <x:c r="AD33" t="inlineStr">
        <x:is>
          <x:t xml:space="preserve">Synthetic - CIE training only</x:t>
        </x:is>
      </x:c>
    </x:row>
    <x:row r="34">
      <x:c r="A34" t="inlineStr">
        <x:is>
          <x:t xml:space="preserve">FIN-0029</x:t>
        </x:is>
      </x:c>
      <x:c r="B34" t="inlineStr">
        <x:is>
          <x:t xml:space="preserve">P07 Jul-2026</x:t>
        </x:is>
      </x:c>
      <x:c r="C34" s="10" t="n">
        <x:v>46234</x:v>
      </x:c>
      <x:c r="D34" t="inlineStr">
        <x:is>
          <x:t xml:space="preserve">Region Atlas</x:t>
        </x:is>
      </x:c>
      <x:c r="E34" t="inlineStr">
        <x:is>
          <x:t xml:space="preserve">Westbrook</x:t>
        </x:is>
      </x:c>
      <x:c r="F34" t="inlineStr">
        <x:is>
          <x:t xml:space="preserve">Finance</x:t>
        </x:is>
      </x:c>
      <x:c r="G34" t="inlineStr">
        <x:is>
          <x:t xml:space="preserve">WB-FIN-900</x:t>
        </x:is>
      </x:c>
      <x:c r="H34" t="inlineStr">
        <x:is>
          <x:t xml:space="preserve">Other Operating Income</x:t>
        </x:is>
      </x:c>
      <x:c r="I34" t="inlineStr">
        <x:is>
          <x:t xml:space="preserve">Revenue</x:t>
        </x:is>
      </x:c>
      <x:c r="J34" s="11" t="n">
        <x:v>1.62</x:v>
      </x:c>
      <x:c r="K34" s="11" t="n">
        <x:v>1.63</x:v>
      </x:c>
      <x:c r="L34" s="11" t="n">
        <x:v>1.55</x:v>
      </x:c>
      <x:c r="M34" s="11" t="n">
        <x:v>1.63</x:v>
      </x:c>
      <x:c r="N34" s="11">
        <x:f>J34-K34</x:f>
      </x:c>
      <x:c r="O34" s="12">
        <x:f>IF(K34=0,0,N34/K34)</x:f>
      </x:c>
      <x:c r="P34" s="11">
        <x:f>J34-L34</x:f>
      </x:c>
      <x:c r="Q34" s="12">
        <x:f>IF(L34=0,0,P34/L34)</x:f>
      </x:c>
      <x:c r="R34" s="11">
        <x:f>J34-M34</x:f>
      </x:c>
      <x:c r="S34" s="11">
        <x:f>IF(I34="Revenue",N34,-N34)</x:f>
      </x:c>
      <x:c r="T34">
        <x:f>IF(S34&gt;=0,"Favourable","Unfavourable")</x:f>
      </x:c>
      <x:c r="U34" s="11" t="n">
        <x:v>-0.04</x:v>
      </x:c>
      <x:c r="V34" s="11" t="n">
        <x:v>0.01</x:v>
      </x:c>
      <x:c r="W34" s="11" t="n">
        <x:v>0.01</x:v>
      </x:c>
      <x:c r="X34" s="11" t="n">
        <x:v>0.01</x:v>
      </x:c>
      <x:c r="Y34" s="11">
        <x:f>ROUND(U34+V34+W34+X34-N34,2)</x:f>
      </x:c>
      <x:c r="Z34">
        <x:f>IF(AND(ABS(ROUND(N34,2))&gt;=0.5,ABS(O34)&gt;=0.05),"Yes","No")</x:f>
      </x:c>
      <x:c r="AA34" t="inlineStr">
        <x:is>
          <x:t xml:space="preserve">Closed actual</x:t>
        </x:is>
      </x:c>
      <x:c r="AB34" t="inlineStr">
        <x:is>
          <x:t xml:space="preserve"/>
        </x:is>
      </x:c>
      <x:c r="AC34" t="inlineStr">
        <x:is>
          <x:t xml:space="preserve"/>
        </x:is>
      </x:c>
      <x:c r="AD34" t="inlineStr">
        <x:is>
          <x:t xml:space="preserve">Synthetic - CIE training only</x:t>
        </x:is>
      </x:c>
    </x:row>
    <x:row r="35">
      <x:c r="A35" t="inlineStr">
        <x:is>
          <x:t xml:space="preserve">FIN-0030</x:t>
        </x:is>
      </x:c>
      <x:c r="B35" t="inlineStr">
        <x:is>
          <x:t xml:space="preserve">P07 Jul-2026</x:t>
        </x:is>
      </x:c>
      <x:c r="C35" s="10" t="n">
        <x:v>46234</x:v>
      </x:c>
      <x:c r="D35" t="inlineStr">
        <x:is>
          <x:t xml:space="preserve">Region Atlas</x:t>
        </x:is>
      </x:c>
      <x:c r="E35" t="inlineStr">
        <x:is>
          <x:t xml:space="preserve">Westbrook</x:t>
        </x:is>
      </x:c>
      <x:c r="F35" t="inlineStr">
        <x:is>
          <x:t xml:space="preserve">Operations</x:t>
        </x:is>
      </x:c>
      <x:c r="G35" t="inlineStr">
        <x:is>
          <x:t xml:space="preserve">WB-OPS-200</x:t>
        </x:is>
      </x:c>
      <x:c r="H35" t="inlineStr">
        <x:is>
          <x:t xml:space="preserve">Cost of Goods Sold</x:t>
        </x:is>
      </x:c>
      <x:c r="I35" t="inlineStr">
        <x:is>
          <x:t xml:space="preserve">Cost</x:t>
        </x:is>
      </x:c>
      <x:c r="J35" s="11" t="n">
        <x:v>23.05</x:v>
      </x:c>
      <x:c r="K35" s="11" t="n">
        <x:v>23.06</x:v>
      </x:c>
      <x:c r="L35" s="11" t="n">
        <x:v>22.22</x:v>
      </x:c>
      <x:c r="M35" s="11" t="n">
        <x:v>23.08</x:v>
      </x:c>
      <x:c r="N35" s="11">
        <x:f>J35-K35</x:f>
      </x:c>
      <x:c r="O35" s="12">
        <x:f>IF(K35=0,0,N35/K35)</x:f>
      </x:c>
      <x:c r="P35" s="11">
        <x:f>J35-L35</x:f>
      </x:c>
      <x:c r="Q35" s="12">
        <x:f>IF(L35=0,0,P35/L35)</x:f>
      </x:c>
      <x:c r="R35" s="11">
        <x:f>J35-M35</x:f>
      </x:c>
      <x:c r="S35" s="11">
        <x:f>IF(I35="Revenue",N35,-N35)</x:f>
      </x:c>
      <x:c r="T35">
        <x:f>IF(S35&gt;=0,"Favourable","Unfavourable")</x:f>
      </x:c>
      <x:c r="U35" s="11" t="n">
        <x:v>-0.05</x:v>
      </x:c>
      <x:c r="V35" s="11" t="n">
        <x:v>0</x:v>
      </x:c>
      <x:c r="W35" s="11" t="n">
        <x:v>-0.15</x:v>
      </x:c>
      <x:c r="X35" s="11" t="n">
        <x:v>0.19</x:v>
      </x:c>
      <x:c r="Y35" s="11">
        <x:f>ROUND(U35+V35+W35+X35-N35,2)</x:f>
      </x:c>
      <x:c r="Z35">
        <x:f>IF(AND(ABS(ROUND(N35,2))&gt;=0.5,ABS(O35)&gt;=0.05),"Yes","No")</x:f>
      </x:c>
      <x:c r="AA35" t="inlineStr">
        <x:is>
          <x:t xml:space="preserve">Closed actual</x:t>
        </x:is>
      </x:c>
      <x:c r="AB35" t="inlineStr">
        <x:is>
          <x:t xml:space="preserve"/>
        </x:is>
      </x:c>
      <x:c r="AC35" t="inlineStr">
        <x:is>
          <x:t xml:space="preserve"/>
        </x:is>
      </x:c>
      <x:c r="AD35" t="inlineStr">
        <x:is>
          <x:t xml:space="preserve">Synthetic - CIE training only</x:t>
        </x:is>
      </x:c>
    </x:row>
    <x:row r="36">
      <x:c r="A36" t="inlineStr">
        <x:is>
          <x:t xml:space="preserve">FIN-0031</x:t>
        </x:is>
      </x:c>
      <x:c r="B36" t="inlineStr">
        <x:is>
          <x:t xml:space="preserve">P07 Jul-2026</x:t>
        </x:is>
      </x:c>
      <x:c r="C36" s="10" t="n">
        <x:v>46234</x:v>
      </x:c>
      <x:c r="D36" t="inlineStr">
        <x:is>
          <x:t xml:space="preserve">Region Atlas</x:t>
        </x:is>
      </x:c>
      <x:c r="E36" t="inlineStr">
        <x:is>
          <x:t xml:space="preserve">Westbrook</x:t>
        </x:is>
      </x:c>
      <x:c r="F36" t="inlineStr">
        <x:is>
          <x:t xml:space="preserve">Supply Chain</x:t>
        </x:is>
      </x:c>
      <x:c r="G36" t="inlineStr">
        <x:is>
          <x:t xml:space="preserve">WB-SCM-300</x:t>
        </x:is>
      </x:c>
      <x:c r="H36" t="inlineStr">
        <x:is>
          <x:t xml:space="preserve">Logistics &amp; Distribution</x:t>
        </x:is>
      </x:c>
      <x:c r="I36" t="inlineStr">
        <x:is>
          <x:t xml:space="preserve">Cost</x:t>
        </x:is>
      </x:c>
      <x:c r="J36" s="11" t="n">
        <x:v>4.66</x:v>
      </x:c>
      <x:c r="K36" s="11" t="n">
        <x:v>4.82</x:v>
      </x:c>
      <x:c r="L36" s="11" t="n">
        <x:v>4.59</x:v>
      </x:c>
      <x:c r="M36" s="11" t="n">
        <x:v>4.69</x:v>
      </x:c>
      <x:c r="N36" s="11">
        <x:f>J36-K36</x:f>
      </x:c>
      <x:c r="O36" s="12">
        <x:f>IF(K36=0,0,N36/K36)</x:f>
      </x:c>
      <x:c r="P36" s="11">
        <x:f>J36-L36</x:f>
      </x:c>
      <x:c r="Q36" s="12">
        <x:f>IF(L36=0,0,P36/L36)</x:f>
      </x:c>
      <x:c r="R36" s="11">
        <x:f>J36-M36</x:f>
      </x:c>
      <x:c r="S36" s="11">
        <x:f>IF(I36="Revenue",N36,-N36)</x:f>
      </x:c>
      <x:c r="T36">
        <x:f>IF(S36&gt;=0,"Favourable","Unfavourable")</x:f>
      </x:c>
      <x:c r="U36" s="11" t="n">
        <x:v>-0.05</x:v>
      </x:c>
      <x:c r="V36" s="11" t="n">
        <x:v>-0.05</x:v>
      </x:c>
      <x:c r="W36" s="11" t="n">
        <x:v>-0.04</x:v>
      </x:c>
      <x:c r="X36" s="11" t="n">
        <x:v>-0.02</x:v>
      </x:c>
      <x:c r="Y36" s="11">
        <x:f>ROUND(U36+V36+W36+X36-N36,2)</x:f>
      </x:c>
      <x:c r="Z36">
        <x:f>IF(AND(ABS(ROUND(N36,2))&gt;=0.5,ABS(O36)&gt;=0.05),"Yes","No")</x:f>
      </x:c>
      <x:c r="AA36" t="inlineStr">
        <x:is>
          <x:t xml:space="preserve">Closed actual</x:t>
        </x:is>
      </x:c>
      <x:c r="AB36" t="inlineStr">
        <x:is>
          <x:t xml:space="preserve"/>
        </x:is>
      </x:c>
      <x:c r="AC36" t="inlineStr">
        <x:is>
          <x:t xml:space="preserve"/>
        </x:is>
      </x:c>
      <x:c r="AD36" t="inlineStr">
        <x:is>
          <x:t xml:space="preserve">Synthetic - CIE training only</x:t>
        </x:is>
      </x:c>
    </x:row>
    <x:row r="37">
      <x:c r="A37" t="inlineStr">
        <x:is>
          <x:t xml:space="preserve">FIN-0032</x:t>
        </x:is>
      </x:c>
      <x:c r="B37" t="inlineStr">
        <x:is>
          <x:t xml:space="preserve">P07 Jul-2026</x:t>
        </x:is>
      </x:c>
      <x:c r="C37" s="10" t="n">
        <x:v>46234</x:v>
      </x:c>
      <x:c r="D37" t="inlineStr">
        <x:is>
          <x:t xml:space="preserve">Region Atlas</x:t>
        </x:is>
      </x:c>
      <x:c r="E37" t="inlineStr">
        <x:is>
          <x:t xml:space="preserve">Westbrook</x:t>
        </x:is>
      </x:c>
      <x:c r="F37" t="inlineStr">
        <x:is>
          <x:t xml:space="preserve">Marketing</x:t>
        </x:is>
      </x:c>
      <x:c r="G37" t="inlineStr">
        <x:is>
          <x:t xml:space="preserve">WB-MKT-400</x:t>
        </x:is>
      </x:c>
      <x:c r="H37" t="inlineStr">
        <x:is>
          <x:t xml:space="preserve">Trade Marketing Investment</x:t>
        </x:is>
      </x:c>
      <x:c r="I37" t="inlineStr">
        <x:is>
          <x:t xml:space="preserve">Cost</x:t>
        </x:is>
      </x:c>
      <x:c r="J37" s="11" t="n">
        <x:v>6.65</x:v>
      </x:c>
      <x:c r="K37" s="11" t="n">
        <x:v>6.69</x:v>
      </x:c>
      <x:c r="L37" s="11" t="n">
        <x:v>6.26</x:v>
      </x:c>
      <x:c r="M37" s="11" t="n">
        <x:v>6.58</x:v>
      </x:c>
      <x:c r="N37" s="11">
        <x:f>J37-K37</x:f>
      </x:c>
      <x:c r="O37" s="12">
        <x:f>IF(K37=0,0,N37/K37)</x:f>
      </x:c>
      <x:c r="P37" s="11">
        <x:f>J37-L37</x:f>
      </x:c>
      <x:c r="Q37" s="12">
        <x:f>IF(L37=0,0,P37/L37)</x:f>
      </x:c>
      <x:c r="R37" s="11">
        <x:f>J37-M37</x:f>
      </x:c>
      <x:c r="S37" s="11">
        <x:f>IF(I37="Revenue",N37,-N37)</x:f>
      </x:c>
      <x:c r="T37">
        <x:f>IF(S37&gt;=0,"Favourable","Unfavourable")</x:f>
      </x:c>
      <x:c r="U37" s="11" t="n">
        <x:v>0</x:v>
      </x:c>
      <x:c r="V37" s="11" t="n">
        <x:v>0</x:v>
      </x:c>
      <x:c r="W37" s="11" t="n">
        <x:v>0</x:v>
      </x:c>
      <x:c r="X37" s="11" t="n">
        <x:v>-0.04</x:v>
      </x:c>
      <x:c r="Y37" s="11">
        <x:f>ROUND(U37+V37+W37+X37-N37,2)</x:f>
      </x:c>
      <x:c r="Z37">
        <x:f>IF(AND(ABS(ROUND(N37,2))&gt;=0.5,ABS(O37)&gt;=0.05),"Yes","No")</x:f>
      </x:c>
      <x:c r="AA37" t="inlineStr">
        <x:is>
          <x:t xml:space="preserve">Closed actual</x:t>
        </x:is>
      </x:c>
      <x:c r="AB37" t="inlineStr">
        <x:is>
          <x:t xml:space="preserve"/>
        </x:is>
      </x:c>
      <x:c r="AC37" t="inlineStr">
        <x:is>
          <x:t xml:space="preserve"/>
        </x:is>
      </x:c>
      <x:c r="AD37" t="inlineStr">
        <x:is>
          <x:t xml:space="preserve">Synthetic - CIE training only</x:t>
        </x:is>
      </x:c>
    </x:row>
    <x:row r="38">
      <x:c r="A38" t="inlineStr">
        <x:is>
          <x:t xml:space="preserve">FIN-0033</x:t>
        </x:is>
      </x:c>
      <x:c r="B38" t="inlineStr">
        <x:is>
          <x:t xml:space="preserve">P07 Jul-2026</x:t>
        </x:is>
      </x:c>
      <x:c r="C38" s="10" t="n">
        <x:v>46234</x:v>
      </x:c>
      <x:c r="D38" t="inlineStr">
        <x:is>
          <x:t xml:space="preserve">Region Atlas</x:t>
        </x:is>
      </x:c>
      <x:c r="E38" t="inlineStr">
        <x:is>
          <x:t xml:space="preserve">Westbrook</x:t>
        </x:is>
      </x:c>
      <x:c r="F38" t="inlineStr">
        <x:is>
          <x:t xml:space="preserve">Commercial</x:t>
        </x:is>
      </x:c>
      <x:c r="G38" t="inlineStr">
        <x:is>
          <x:t xml:space="preserve">WB-COM-110</x:t>
        </x:is>
      </x:c>
      <x:c r="H38" t="inlineStr">
        <x:is>
          <x:t xml:space="preserve">Sales Force Cost</x:t>
        </x:is>
      </x:c>
      <x:c r="I38" t="inlineStr">
        <x:is>
          <x:t xml:space="preserve">Cost</x:t>
        </x:is>
      </x:c>
      <x:c r="J38" s="11" t="n">
        <x:v>3.79</x:v>
      </x:c>
      <x:c r="K38" s="11" t="n">
        <x:v>3.84</x:v>
      </x:c>
      <x:c r="L38" s="11" t="n">
        <x:v>3.66</x:v>
      </x:c>
      <x:c r="M38" s="11" t="n">
        <x:v>3.72</x:v>
      </x:c>
      <x:c r="N38" s="11">
        <x:f>J38-K38</x:f>
      </x:c>
      <x:c r="O38" s="12">
        <x:f>IF(K38=0,0,N38/K38)</x:f>
      </x:c>
      <x:c r="P38" s="11">
        <x:f>J38-L38</x:f>
      </x:c>
      <x:c r="Q38" s="12">
        <x:f>IF(L38=0,0,P38/L38)</x:f>
      </x:c>
      <x:c r="R38" s="11">
        <x:f>J38-M38</x:f>
      </x:c>
      <x:c r="S38" s="11">
        <x:f>IF(I38="Revenue",N38,-N38)</x:f>
      </x:c>
      <x:c r="T38">
        <x:f>IF(S38&gt;=0,"Favourable","Unfavourable")</x:f>
      </x:c>
      <x:c r="U38" s="11" t="n">
        <x:v>-0.02</x:v>
      </x:c>
      <x:c r="V38" s="11" t="n">
        <x:v>-0.02</x:v>
      </x:c>
      <x:c r="W38" s="11" t="n">
        <x:v>0.01</x:v>
      </x:c>
      <x:c r="X38" s="11" t="n">
        <x:v>-0.02</x:v>
      </x:c>
      <x:c r="Y38" s="11">
        <x:f>ROUND(U38+V38+W38+X38-N38,2)</x:f>
      </x:c>
      <x:c r="Z38">
        <x:f>IF(AND(ABS(ROUND(N38,2))&gt;=0.5,ABS(O38)&gt;=0.05),"Yes","No")</x:f>
      </x:c>
      <x:c r="AA38" t="inlineStr">
        <x:is>
          <x:t xml:space="preserve">Closed actual</x:t>
        </x:is>
      </x:c>
      <x:c r="AB38" t="inlineStr">
        <x:is>
          <x:t xml:space="preserve"/>
        </x:is>
      </x:c>
      <x:c r="AC38" t="inlineStr">
        <x:is>
          <x:t xml:space="preserve"/>
        </x:is>
      </x:c>
      <x:c r="AD38" t="inlineStr">
        <x:is>
          <x:t xml:space="preserve">Synthetic - CIE training only</x:t>
        </x:is>
      </x:c>
    </x:row>
    <x:row r="39">
      <x:c r="A39" t="inlineStr">
        <x:is>
          <x:t xml:space="preserve">FIN-0034</x:t>
        </x:is>
      </x:c>
      <x:c r="B39" t="inlineStr">
        <x:is>
          <x:t xml:space="preserve">P07 Jul-2026</x:t>
        </x:is>
      </x:c>
      <x:c r="C39" s="10" t="n">
        <x:v>46234</x:v>
      </x:c>
      <x:c r="D39" t="inlineStr">
        <x:is>
          <x:t xml:space="preserve">Region Atlas</x:t>
        </x:is>
      </x:c>
      <x:c r="E39" t="inlineStr">
        <x:is>
          <x:t xml:space="preserve">Westbrook</x:t>
        </x:is>
      </x:c>
      <x:c r="F39" t="inlineStr">
        <x:is>
          <x:t xml:space="preserve">Digital &amp; IT</x:t>
        </x:is>
      </x:c>
      <x:c r="G39" t="inlineStr">
        <x:is>
          <x:t xml:space="preserve">WB-DIT-500</x:t>
        </x:is>
      </x:c>
      <x:c r="H39" t="inlineStr">
        <x:is>
          <x:t xml:space="preserve">Digital &amp; IT Cost</x:t>
        </x:is>
      </x:c>
      <x:c r="I39" t="inlineStr">
        <x:is>
          <x:t xml:space="preserve">Cost</x:t>
        </x:is>
      </x:c>
      <x:c r="J39" s="11" t="n">
        <x:v>2.9</x:v>
      </x:c>
      <x:c r="K39" s="11" t="n">
        <x:v>2.86</x:v>
      </x:c>
      <x:c r="L39" s="11" t="n">
        <x:v>2.81</x:v>
      </x:c>
      <x:c r="M39" s="11" t="n">
        <x:v>2.82</x:v>
      </x:c>
      <x:c r="N39" s="11">
        <x:f>J39-K39</x:f>
      </x:c>
      <x:c r="O39" s="12">
        <x:f>IF(K39=0,0,N39/K39)</x:f>
      </x:c>
      <x:c r="P39" s="11">
        <x:f>J39-L39</x:f>
      </x:c>
      <x:c r="Q39" s="12">
        <x:f>IF(L39=0,0,P39/L39)</x:f>
      </x:c>
      <x:c r="R39" s="11">
        <x:f>J39-M39</x:f>
      </x:c>
      <x:c r="S39" s="11">
        <x:f>IF(I39="Revenue",N39,-N39)</x:f>
      </x:c>
      <x:c r="T39">
        <x:f>IF(S39&gt;=0,"Favourable","Unfavourable")</x:f>
      </x:c>
      <x:c r="U39" s="11" t="n">
        <x:v>0.04</x:v>
      </x:c>
      <x:c r="V39" s="11" t="n">
        <x:v>0</x:v>
      </x:c>
      <x:c r="W39" s="11" t="n">
        <x:v>0</x:v>
      </x:c>
      <x:c r="X39" s="11" t="n">
        <x:v>0</x:v>
      </x:c>
      <x:c r="Y39" s="11">
        <x:f>ROUND(U39+V39+W39+X39-N39,2)</x:f>
      </x:c>
      <x:c r="Z39">
        <x:f>IF(AND(ABS(ROUND(N39,2))&gt;=0.5,ABS(O39)&gt;=0.05),"Yes","No")</x:f>
      </x:c>
      <x:c r="AA39" t="inlineStr">
        <x:is>
          <x:t xml:space="preserve">Closed actual</x:t>
        </x:is>
      </x:c>
      <x:c r="AB39" t="inlineStr">
        <x:is>
          <x:t xml:space="preserve"/>
        </x:is>
      </x:c>
      <x:c r="AC39" t="inlineStr">
        <x:is>
          <x:t xml:space="preserve"/>
        </x:is>
      </x:c>
      <x:c r="AD39" t="inlineStr">
        <x:is>
          <x:t xml:space="preserve">Synthetic - CIE training only</x:t>
        </x:is>
      </x:c>
    </x:row>
    <x:row r="40">
      <x:c r="A40" t="inlineStr">
        <x:is>
          <x:t xml:space="preserve">FIN-0035</x:t>
        </x:is>
      </x:c>
      <x:c r="B40" t="inlineStr">
        <x:is>
          <x:t xml:space="preserve">P07 Jul-2026</x:t>
        </x:is>
      </x:c>
      <x:c r="C40" s="10" t="n">
        <x:v>46234</x:v>
      </x:c>
      <x:c r="D40" t="inlineStr">
        <x:is>
          <x:t xml:space="preserve">Region Atlas</x:t>
        </x:is>
      </x:c>
      <x:c r="E40" t="inlineStr">
        <x:is>
          <x:t xml:space="preserve">Westbrook</x:t>
        </x:is>
      </x:c>
      <x:c r="F40" t="inlineStr">
        <x:is>
          <x:t xml:space="preserve">Finance</x:t>
        </x:is>
      </x:c>
      <x:c r="G40" t="inlineStr">
        <x:is>
          <x:t xml:space="preserve">WB-FIN-600</x:t>
        </x:is>
      </x:c>
      <x:c r="H40" t="inlineStr">
        <x:is>
          <x:t xml:space="preserve">General &amp; Admin Cost</x:t>
        </x:is>
      </x:c>
      <x:c r="I40" t="inlineStr">
        <x:is>
          <x:t xml:space="preserve">Cost</x:t>
        </x:is>
      </x:c>
      <x:c r="J40" s="11" t="n">
        <x:v>2.27</x:v>
      </x:c>
      <x:c r="K40" s="11" t="n">
        <x:v>2.28</x:v>
      </x:c>
      <x:c r="L40" s="11" t="n">
        <x:v>2.22</x:v>
      </x:c>
      <x:c r="M40" s="11" t="n">
        <x:v>2.32</x:v>
      </x:c>
      <x:c r="N40" s="11">
        <x:f>J40-K40</x:f>
      </x:c>
      <x:c r="O40" s="12">
        <x:f>IF(K40=0,0,N40/K40)</x:f>
      </x:c>
      <x:c r="P40" s="11">
        <x:f>J40-L40</x:f>
      </x:c>
      <x:c r="Q40" s="12">
        <x:f>IF(L40=0,0,P40/L40)</x:f>
      </x:c>
      <x:c r="R40" s="11">
        <x:f>J40-M40</x:f>
      </x:c>
      <x:c r="S40" s="11">
        <x:f>IF(I40="Revenue",N40,-N40)</x:f>
      </x:c>
      <x:c r="T40">
        <x:f>IF(S40&gt;=0,"Favourable","Unfavourable")</x:f>
      </x:c>
      <x:c r="U40" s="11" t="n">
        <x:v>0.01</x:v>
      </x:c>
      <x:c r="V40" s="11" t="n">
        <x:v>-0.03</x:v>
      </x:c>
      <x:c r="W40" s="11" t="n">
        <x:v>0</x:v>
      </x:c>
      <x:c r="X40" s="11" t="n">
        <x:v>0.01</x:v>
      </x:c>
      <x:c r="Y40" s="11">
        <x:f>ROUND(U40+V40+W40+X40-N40,2)</x:f>
      </x:c>
      <x:c r="Z40">
        <x:f>IF(AND(ABS(ROUND(N40,2))&gt;=0.5,ABS(O40)&gt;=0.05),"Yes","No")</x:f>
      </x:c>
      <x:c r="AA40" t="inlineStr">
        <x:is>
          <x:t xml:space="preserve">Closed actual</x:t>
        </x:is>
      </x:c>
      <x:c r="AB40" t="inlineStr">
        <x:is>
          <x:t xml:space="preserve"/>
        </x:is>
      </x:c>
      <x:c r="AC40" t="inlineStr">
        <x:is>
          <x:t xml:space="preserve"/>
        </x:is>
      </x:c>
      <x:c r="AD40" t="inlineStr">
        <x:is>
          <x:t xml:space="preserve">Synthetic - CIE training only</x:t>
        </x:is>
      </x:c>
    </x:row>
    <x:row r="41">
      <x:c r="A41" t="inlineStr">
        <x:is>
          <x:t xml:space="preserve">FIN-0036</x:t>
        </x:is>
      </x:c>
      <x:c r="B41" t="inlineStr">
        <x:is>
          <x:t xml:space="preserve">P07 Jul-2026</x:t>
        </x:is>
      </x:c>
      <x:c r="C41" s="10" t="n">
        <x:v>46234</x:v>
      </x:c>
      <x:c r="D41" t="inlineStr">
        <x:is>
          <x:t xml:space="preserve">Region Atlas</x:t>
        </x:is>
      </x:c>
      <x:c r="E41" t="inlineStr">
        <x:is>
          <x:t xml:space="preserve">Westbrook</x:t>
        </x:is>
      </x:c>
      <x:c r="F41" t="inlineStr">
        <x:is>
          <x:t xml:space="preserve">Operations</x:t>
        </x:is>
      </x:c>
      <x:c r="G41" t="inlineStr">
        <x:is>
          <x:t xml:space="preserve">WB-OPS-210</x:t>
        </x:is>
      </x:c>
      <x:c r="H41" t="inlineStr">
        <x:is>
          <x:t xml:space="preserve">Facilities Cost</x:t>
        </x:is>
      </x:c>
      <x:c r="I41" t="inlineStr">
        <x:is>
          <x:t xml:space="preserve">Cost</x:t>
        </x:is>
      </x:c>
      <x:c r="J41" s="11" t="n">
        <x:v>1.4</x:v>
      </x:c>
      <x:c r="K41" s="11" t="n">
        <x:v>1.4</x:v>
      </x:c>
      <x:c r="L41" s="11" t="n">
        <x:v>1.38</x:v>
      </x:c>
      <x:c r="M41" s="11" t="n">
        <x:v>1.4</x:v>
      </x:c>
      <x:c r="N41" s="11">
        <x:f>J41-K41</x:f>
      </x:c>
      <x:c r="O41" s="12">
        <x:f>IF(K41=0,0,N41/K41)</x:f>
      </x:c>
      <x:c r="P41" s="11">
        <x:f>J41-L41</x:f>
      </x:c>
      <x:c r="Q41" s="12">
        <x:f>IF(L41=0,0,P41/L41)</x:f>
      </x:c>
      <x:c r="R41" s="11">
        <x:f>J41-M41</x:f>
      </x:c>
      <x:c r="S41" s="11">
        <x:f>IF(I41="Revenue",N41,-N41)</x:f>
      </x:c>
      <x:c r="T41">
        <x:f>IF(S41&gt;=0,"Favourable","Unfavourable")</x:f>
      </x:c>
      <x:c r="U41" s="11" t="n">
        <x:v>-0.01</x:v>
      </x:c>
      <x:c r="V41" s="11" t="n">
        <x:v>0.02</x:v>
      </x:c>
      <x:c r="W41" s="11" t="n">
        <x:v>-0.01</x:v>
      </x:c>
      <x:c r="X41" s="11" t="n">
        <x:v>0</x:v>
      </x:c>
      <x:c r="Y41" s="11">
        <x:f>ROUND(U41+V41+W41+X41-N41,2)</x:f>
      </x:c>
      <x:c r="Z41">
        <x:f>IF(AND(ABS(ROUND(N41,2))&gt;=0.5,ABS(O41)&gt;=0.05),"Yes","No")</x:f>
      </x:c>
      <x:c r="AA41" t="inlineStr">
        <x:is>
          <x:t xml:space="preserve">Closed actual</x:t>
        </x:is>
      </x:c>
      <x:c r="AB41" t="inlineStr">
        <x:is>
          <x:t xml:space="preserve"/>
        </x:is>
      </x:c>
      <x:c r="AC41" t="inlineStr">
        <x:is>
          <x:t xml:space="preserve"/>
        </x:is>
      </x:c>
      <x:c r="AD41" t="inlineStr">
        <x:is>
          <x:t xml:space="preserve">Synthetic - CIE training only</x:t>
        </x:is>
      </x:c>
    </x:row>
    <x:row r="42">
      <x:c r="A42" t="inlineStr">
        <x:is>
          <x:t xml:space="preserve">FIN-0037</x:t>
        </x:is>
      </x:c>
      <x:c r="B42" t="inlineStr">
        <x:is>
          <x:t xml:space="preserve">P07 Jul-2026</x:t>
        </x:is>
      </x:c>
      <x:c r="C42" s="10" t="n">
        <x:v>46234</x:v>
      </x:c>
      <x:c r="D42" t="inlineStr">
        <x:is>
          <x:t xml:space="preserve">Region Atlas</x:t>
        </x:is>
      </x:c>
      <x:c r="E42" t="inlineStr">
        <x:is>
          <x:t xml:space="preserve">Centralis</x:t>
        </x:is>
      </x:c>
      <x:c r="F42" t="inlineStr">
        <x:is>
          <x:t xml:space="preserve">Commercial</x:t>
        </x:is>
      </x:c>
      <x:c r="G42" t="inlineStr">
        <x:is>
          <x:t xml:space="preserve">CE-COM-100</x:t>
        </x:is>
      </x:c>
      <x:c r="H42" t="inlineStr">
        <x:is>
          <x:t xml:space="preserve">Net Revenue</x:t>
        </x:is>
      </x:c>
      <x:c r="I42" t="inlineStr">
        <x:is>
          <x:t xml:space="preserve">Revenue</x:t>
        </x:is>
      </x:c>
      <x:c r="J42" s="11" t="n">
        <x:v>46.54</x:v>
      </x:c>
      <x:c r="K42" s="11" t="n">
        <x:v>46.57</x:v>
      </x:c>
      <x:c r="L42" s="11" t="n">
        <x:v>44.76</x:v>
      </x:c>
      <x:c r="M42" s="11" t="n">
        <x:v>46.16</x:v>
      </x:c>
      <x:c r="N42" s="11">
        <x:f>J42-K42</x:f>
      </x:c>
      <x:c r="O42" s="12">
        <x:f>IF(K42=0,0,N42/K42)</x:f>
      </x:c>
      <x:c r="P42" s="11">
        <x:f>J42-L42</x:f>
      </x:c>
      <x:c r="Q42" s="12">
        <x:f>IF(L42=0,0,P42/L42)</x:f>
      </x:c>
      <x:c r="R42" s="11">
        <x:f>J42-M42</x:f>
      </x:c>
      <x:c r="S42" s="11">
        <x:f>IF(I42="Revenue",N42,-N42)</x:f>
      </x:c>
      <x:c r="T42">
        <x:f>IF(S42&gt;=0,"Favourable","Unfavourable")</x:f>
      </x:c>
      <x:c r="U42" s="11" t="n">
        <x:v>-0.44</x:v>
      </x:c>
      <x:c r="V42" s="11" t="n">
        <x:v>0.76</x:v>
      </x:c>
      <x:c r="W42" s="11" t="n">
        <x:v>0.07000000000000001</x:v>
      </x:c>
      <x:c r="X42" s="11" t="n">
        <x:v>-0.42</x:v>
      </x:c>
      <x:c r="Y42" s="11">
        <x:f>ROUND(U42+V42+W42+X42-N42,2)</x:f>
      </x:c>
      <x:c r="Z42">
        <x:f>IF(AND(ABS(ROUND(N42,2))&gt;=0.5,ABS(O42)&gt;=0.05),"Yes","No")</x:f>
      </x:c>
      <x:c r="AA42" t="inlineStr">
        <x:is>
          <x:t xml:space="preserve">Closed actual</x:t>
        </x:is>
      </x:c>
      <x:c r="AB42" t="inlineStr">
        <x:is>
          <x:t xml:space="preserve"/>
        </x:is>
      </x:c>
      <x:c r="AC42" t="inlineStr">
        <x:is>
          <x:t xml:space="preserve"/>
        </x:is>
      </x:c>
      <x:c r="AD42" t="inlineStr">
        <x:is>
          <x:t xml:space="preserve">Synthetic - CIE training only</x:t>
        </x:is>
      </x:c>
    </x:row>
    <x:row r="43">
      <x:c r="A43" t="inlineStr">
        <x:is>
          <x:t xml:space="preserve">FIN-0038</x:t>
        </x:is>
      </x:c>
      <x:c r="B43" t="inlineStr">
        <x:is>
          <x:t xml:space="preserve">P07 Jul-2026</x:t>
        </x:is>
      </x:c>
      <x:c r="C43" s="10" t="n">
        <x:v>46234</x:v>
      </x:c>
      <x:c r="D43" t="inlineStr">
        <x:is>
          <x:t xml:space="preserve">Region Atlas</x:t>
        </x:is>
      </x:c>
      <x:c r="E43" t="inlineStr">
        <x:is>
          <x:t xml:space="preserve">Centralis</x:t>
        </x:is>
      </x:c>
      <x:c r="F43" t="inlineStr">
        <x:is>
          <x:t xml:space="preserve">Finance</x:t>
        </x:is>
      </x:c>
      <x:c r="G43" t="inlineStr">
        <x:is>
          <x:t xml:space="preserve">CE-FIN-900</x:t>
        </x:is>
      </x:c>
      <x:c r="H43" t="inlineStr">
        <x:is>
          <x:t xml:space="preserve">Other Operating Income</x:t>
        </x:is>
      </x:c>
      <x:c r="I43" t="inlineStr">
        <x:is>
          <x:t xml:space="preserve">Revenue</x:t>
        </x:is>
      </x:c>
      <x:c r="J43" s="11" t="n">
        <x:v>1.25</x:v>
      </x:c>
      <x:c r="K43" s="11" t="n">
        <x:v>1.25</x:v>
      </x:c>
      <x:c r="L43" s="11" t="n">
        <x:v>1.22</x:v>
      </x:c>
      <x:c r="M43" s="11" t="n">
        <x:v>1.26</x:v>
      </x:c>
      <x:c r="N43" s="11">
        <x:f>J43-K43</x:f>
      </x:c>
      <x:c r="O43" s="12">
        <x:f>IF(K43=0,0,N43/K43)</x:f>
      </x:c>
      <x:c r="P43" s="11">
        <x:f>J43-L43</x:f>
      </x:c>
      <x:c r="Q43" s="12">
        <x:f>IF(L43=0,0,P43/L43)</x:f>
      </x:c>
      <x:c r="R43" s="11">
        <x:f>J43-M43</x:f>
      </x:c>
      <x:c r="S43" s="11">
        <x:f>IF(I43="Revenue",N43,-N43)</x:f>
      </x:c>
      <x:c r="T43">
        <x:f>IF(S43&gt;=0,"Favourable","Unfavourable")</x:f>
      </x:c>
      <x:c r="U43" s="11" t="n">
        <x:v>-0.01</x:v>
      </x:c>
      <x:c r="V43" s="11" t="n">
        <x:v>0</x:v>
      </x:c>
      <x:c r="W43" s="11" t="n">
        <x:v>0.01</x:v>
      </x:c>
      <x:c r="X43" s="11" t="n">
        <x:v>0</x:v>
      </x:c>
      <x:c r="Y43" s="11">
        <x:f>ROUND(U43+V43+W43+X43-N43,2)</x:f>
      </x:c>
      <x:c r="Z43">
        <x:f>IF(AND(ABS(ROUND(N43,2))&gt;=0.5,ABS(O43)&gt;=0.05),"Yes","No")</x:f>
      </x:c>
      <x:c r="AA43" t="inlineStr">
        <x:is>
          <x:t xml:space="preserve">Closed actual</x:t>
        </x:is>
      </x:c>
      <x:c r="AB43" t="inlineStr">
        <x:is>
          <x:t xml:space="preserve"/>
        </x:is>
      </x:c>
      <x:c r="AC43" t="inlineStr">
        <x:is>
          <x:t xml:space="preserve"/>
        </x:is>
      </x:c>
      <x:c r="AD43" t="inlineStr">
        <x:is>
          <x:t xml:space="preserve">Synthetic - CIE training only</x:t>
        </x:is>
      </x:c>
    </x:row>
    <x:row r="44">
      <x:c r="A44" t="inlineStr">
        <x:is>
          <x:t xml:space="preserve">FIN-0039</x:t>
        </x:is>
      </x:c>
      <x:c r="B44" t="inlineStr">
        <x:is>
          <x:t xml:space="preserve">P07 Jul-2026</x:t>
        </x:is>
      </x:c>
      <x:c r="C44" s="10" t="n">
        <x:v>46234</x:v>
      </x:c>
      <x:c r="D44" t="inlineStr">
        <x:is>
          <x:t xml:space="preserve">Region Atlas</x:t>
        </x:is>
      </x:c>
      <x:c r="E44" t="inlineStr">
        <x:is>
          <x:t xml:space="preserve">Centralis</x:t>
        </x:is>
      </x:c>
      <x:c r="F44" t="inlineStr">
        <x:is>
          <x:t xml:space="preserve">Operations</x:t>
        </x:is>
      </x:c>
      <x:c r="G44" t="inlineStr">
        <x:is>
          <x:t xml:space="preserve">CE-OPS-200</x:t>
        </x:is>
      </x:c>
      <x:c r="H44" t="inlineStr">
        <x:is>
          <x:t xml:space="preserve">Cost of Goods Sold</x:t>
        </x:is>
      </x:c>
      <x:c r="I44" t="inlineStr">
        <x:is>
          <x:t xml:space="preserve">Cost</x:t>
        </x:is>
      </x:c>
      <x:c r="J44" s="11" t="n">
        <x:v>17.53</x:v>
      </x:c>
      <x:c r="K44" s="11" t="n">
        <x:v>17.24</x:v>
      </x:c>
      <x:c r="L44" s="11" t="n">
        <x:v>16.17</x:v>
      </x:c>
      <x:c r="M44" s="11" t="n">
        <x:v>17.58</x:v>
      </x:c>
      <x:c r="N44" s="11">
        <x:f>J44-K44</x:f>
      </x:c>
      <x:c r="O44" s="12">
        <x:f>IF(K44=0,0,N44/K44)</x:f>
      </x:c>
      <x:c r="P44" s="11">
        <x:f>J44-L44</x:f>
      </x:c>
      <x:c r="Q44" s="12">
        <x:f>IF(L44=0,0,P44/L44)</x:f>
      </x:c>
      <x:c r="R44" s="11">
        <x:f>J44-M44</x:f>
      </x:c>
      <x:c r="S44" s="11">
        <x:f>IF(I44="Revenue",N44,-N44)</x:f>
      </x:c>
      <x:c r="T44">
        <x:f>IF(S44&gt;=0,"Favourable","Unfavourable")</x:f>
      </x:c>
      <x:c r="U44" s="11" t="n">
        <x:v>0.08</x:v>
      </x:c>
      <x:c r="V44" s="11" t="n">
        <x:v>0.24</x:v>
      </x:c>
      <x:c r="W44" s="11" t="n">
        <x:v>-0.02</x:v>
      </x:c>
      <x:c r="X44" s="11" t="n">
        <x:v>-0.01</x:v>
      </x:c>
      <x:c r="Y44" s="11">
        <x:f>ROUND(U44+V44+W44+X44-N44,2)</x:f>
      </x:c>
      <x:c r="Z44">
        <x:f>IF(AND(ABS(ROUND(N44,2))&gt;=0.5,ABS(O44)&gt;=0.05),"Yes","No")</x:f>
      </x:c>
      <x:c r="AA44" t="inlineStr">
        <x:is>
          <x:t xml:space="preserve">Closed actual</x:t>
        </x:is>
      </x:c>
      <x:c r="AB44" t="inlineStr">
        <x:is>
          <x:t xml:space="preserve"/>
        </x:is>
      </x:c>
      <x:c r="AC44" t="inlineStr">
        <x:is>
          <x:t xml:space="preserve"/>
        </x:is>
      </x:c>
      <x:c r="AD44" t="inlineStr">
        <x:is>
          <x:t xml:space="preserve">Synthetic - CIE training only</x:t>
        </x:is>
      </x:c>
    </x:row>
    <x:row r="45">
      <x:c r="A45" t="inlineStr">
        <x:is>
          <x:t xml:space="preserve">FIN-0040</x:t>
        </x:is>
      </x:c>
      <x:c r="B45" t="inlineStr">
        <x:is>
          <x:t xml:space="preserve">P07 Jul-2026</x:t>
        </x:is>
      </x:c>
      <x:c r="C45" s="10" t="n">
        <x:v>46234</x:v>
      </x:c>
      <x:c r="D45" t="inlineStr">
        <x:is>
          <x:t xml:space="preserve">Region Atlas</x:t>
        </x:is>
      </x:c>
      <x:c r="E45" t="inlineStr">
        <x:is>
          <x:t xml:space="preserve">Centralis</x:t>
        </x:is>
      </x:c>
      <x:c r="F45" t="inlineStr">
        <x:is>
          <x:t xml:space="preserve">Supply Chain</x:t>
        </x:is>
      </x:c>
      <x:c r="G45" t="inlineStr">
        <x:is>
          <x:t xml:space="preserve">CE-SCM-300</x:t>
        </x:is>
      </x:c>
      <x:c r="H45" t="inlineStr">
        <x:is>
          <x:t xml:space="preserve">Logistics &amp; Distribution</x:t>
        </x:is>
      </x:c>
      <x:c r="I45" t="inlineStr">
        <x:is>
          <x:t xml:space="preserve">Cost</x:t>
        </x:is>
      </x:c>
      <x:c r="J45" s="11" t="n">
        <x:v>4.39</x:v>
      </x:c>
      <x:c r="K45" s="11" t="n">
        <x:v>3.62</x:v>
      </x:c>
      <x:c r="L45" s="11" t="n">
        <x:v>3.49</x:v>
      </x:c>
      <x:c r="M45" s="11" t="n">
        <x:v>4.41</x:v>
      </x:c>
      <x:c r="N45" s="11">
        <x:f>J45-K45</x:f>
      </x:c>
      <x:c r="O45" s="12">
        <x:f>IF(K45=0,0,N45/K45)</x:f>
      </x:c>
      <x:c r="P45" s="11">
        <x:f>J45-L45</x:f>
      </x:c>
      <x:c r="Q45" s="12">
        <x:f>IF(L45=0,0,P45/L45)</x:f>
      </x:c>
      <x:c r="R45" s="11">
        <x:f>J45-M45</x:f>
      </x:c>
      <x:c r="S45" s="11">
        <x:f>IF(I45="Revenue",N45,-N45)</x:f>
      </x:c>
      <x:c r="T45">
        <x:f>IF(S45&gt;=0,"Favourable","Unfavourable")</x:f>
      </x:c>
      <x:c r="U45" s="11" t="n">
        <x:v>0.07000000000000001</x:v>
      </x:c>
      <x:c r="V45" s="11" t="n">
        <x:v>0.71</x:v>
      </x:c>
      <x:c r="W45" s="11" t="n">
        <x:v>0.01</x:v>
      </x:c>
      <x:c r="X45" s="11" t="n">
        <x:v>-0.02</x:v>
      </x:c>
      <x:c r="Y45" s="11">
        <x:f>ROUND(U45+V45+W45+X45-N45,2)</x:f>
      </x:c>
      <x:c r="Z45">
        <x:f>IF(AND(ABS(ROUND(N45,2))&gt;=0.5,ABS(O45)&gt;=0.05),"Yes","No")</x:f>
      </x:c>
      <x:c r="AA45" t="inlineStr">
        <x:is>
          <x:t xml:space="preserve">Closed actual</x:t>
        </x:is>
      </x:c>
      <x:c r="AB45" t="inlineStr">
        <x:is>
          <x:t xml:space="preserve">Freight and fuel rate increases (fictional carrier contract)</x:t>
        </x:is>
      </x:c>
      <x:c r="AC45" t="inlineStr">
        <x:is>
          <x:t xml:space="preserve"/>
        </x:is>
      </x:c>
      <x:c r="AD45" t="inlineStr">
        <x:is>
          <x:t xml:space="preserve">Synthetic - CIE training only</x:t>
        </x:is>
      </x:c>
    </x:row>
    <x:row r="46">
      <x:c r="A46" t="inlineStr">
        <x:is>
          <x:t xml:space="preserve">FIN-0041</x:t>
        </x:is>
      </x:c>
      <x:c r="B46" t="inlineStr">
        <x:is>
          <x:t xml:space="preserve">P07 Jul-2026</x:t>
        </x:is>
      </x:c>
      <x:c r="C46" s="10" t="n">
        <x:v>46234</x:v>
      </x:c>
      <x:c r="D46" t="inlineStr">
        <x:is>
          <x:t xml:space="preserve">Region Atlas</x:t>
        </x:is>
      </x:c>
      <x:c r="E46" t="inlineStr">
        <x:is>
          <x:t xml:space="preserve">Centralis</x:t>
        </x:is>
      </x:c>
      <x:c r="F46" t="inlineStr">
        <x:is>
          <x:t xml:space="preserve">Marketing</x:t>
        </x:is>
      </x:c>
      <x:c r="G46" t="inlineStr">
        <x:is>
          <x:t xml:space="preserve">CE-MKT-400</x:t>
        </x:is>
      </x:c>
      <x:c r="H46" t="inlineStr">
        <x:is>
          <x:t xml:space="preserve">Trade Marketing Investment</x:t>
        </x:is>
      </x:c>
      <x:c r="I46" t="inlineStr">
        <x:is>
          <x:t xml:space="preserve">Cost</x:t>
        </x:is>
      </x:c>
      <x:c r="J46" s="11" t="n">
        <x:v>4.56</x:v>
      </x:c>
      <x:c r="K46" s="11" t="n">
        <x:v>4.72</x:v>
      </x:c>
      <x:c r="L46" s="11" t="n">
        <x:v>4.47</x:v>
      </x:c>
      <x:c r="M46" s="11" t="n">
        <x:v>4.52</x:v>
      </x:c>
      <x:c r="N46" s="11">
        <x:f>J46-K46</x:f>
      </x:c>
      <x:c r="O46" s="12">
        <x:f>IF(K46=0,0,N46/K46)</x:f>
      </x:c>
      <x:c r="P46" s="11">
        <x:f>J46-L46</x:f>
      </x:c>
      <x:c r="Q46" s="12">
        <x:f>IF(L46=0,0,P46/L46)</x:f>
      </x:c>
      <x:c r="R46" s="11">
        <x:f>J46-M46</x:f>
      </x:c>
      <x:c r="S46" s="11">
        <x:f>IF(I46="Revenue",N46,-N46)</x:f>
      </x:c>
      <x:c r="T46">
        <x:f>IF(S46&gt;=0,"Favourable","Unfavourable")</x:f>
      </x:c>
      <x:c r="U46" s="11" t="n">
        <x:v>-0.13</x:v>
      </x:c>
      <x:c r="V46" s="11" t="n">
        <x:v>-0.01</x:v>
      </x:c>
      <x:c r="W46" s="11" t="n">
        <x:v>0.01</x:v>
      </x:c>
      <x:c r="X46" s="11" t="n">
        <x:v>-0.03</x:v>
      </x:c>
      <x:c r="Y46" s="11">
        <x:f>ROUND(U46+V46+W46+X46-N46,2)</x:f>
      </x:c>
      <x:c r="Z46">
        <x:f>IF(AND(ABS(ROUND(N46,2))&gt;=0.5,ABS(O46)&gt;=0.05),"Yes","No")</x:f>
      </x:c>
      <x:c r="AA46" t="inlineStr">
        <x:is>
          <x:t xml:space="preserve">Closed actual</x:t>
        </x:is>
      </x:c>
      <x:c r="AB46" t="inlineStr">
        <x:is>
          <x:t xml:space="preserve"/>
        </x:is>
      </x:c>
      <x:c r="AC46" t="inlineStr">
        <x:is>
          <x:t xml:space="preserve"/>
        </x:is>
      </x:c>
      <x:c r="AD46" t="inlineStr">
        <x:is>
          <x:t xml:space="preserve">Synthetic - CIE training only</x:t>
        </x:is>
      </x:c>
    </x:row>
    <x:row r="47">
      <x:c r="A47" t="inlineStr">
        <x:is>
          <x:t xml:space="preserve">FIN-0042</x:t>
        </x:is>
      </x:c>
      <x:c r="B47" t="inlineStr">
        <x:is>
          <x:t xml:space="preserve">P07 Jul-2026</x:t>
        </x:is>
      </x:c>
      <x:c r="C47" s="10" t="n">
        <x:v>46234</x:v>
      </x:c>
      <x:c r="D47" t="inlineStr">
        <x:is>
          <x:t xml:space="preserve">Region Atlas</x:t>
        </x:is>
      </x:c>
      <x:c r="E47" t="inlineStr">
        <x:is>
          <x:t xml:space="preserve">Centralis</x:t>
        </x:is>
      </x:c>
      <x:c r="F47" t="inlineStr">
        <x:is>
          <x:t xml:space="preserve">Commercial</x:t>
        </x:is>
      </x:c>
      <x:c r="G47" t="inlineStr">
        <x:is>
          <x:t xml:space="preserve">CE-COM-110</x:t>
        </x:is>
      </x:c>
      <x:c r="H47" t="inlineStr">
        <x:is>
          <x:t xml:space="preserve">Sales Force Cost</x:t>
        </x:is>
      </x:c>
      <x:c r="I47" t="inlineStr">
        <x:is>
          <x:t xml:space="preserve">Cost</x:t>
        </x:is>
      </x:c>
      <x:c r="J47" s="11" t="n">
        <x:v>2.72</x:v>
      </x:c>
      <x:c r="K47" s="11" t="n">
        <x:v>2.74</x:v>
      </x:c>
      <x:c r="L47" s="11" t="n">
        <x:v>2.65</x:v>
      </x:c>
      <x:c r="M47" s="11" t="n">
        <x:v>2.78</x:v>
      </x:c>
      <x:c r="N47" s="11">
        <x:f>J47-K47</x:f>
      </x:c>
      <x:c r="O47" s="12">
        <x:f>IF(K47=0,0,N47/K47)</x:f>
      </x:c>
      <x:c r="P47" s="11">
        <x:f>J47-L47</x:f>
      </x:c>
      <x:c r="Q47" s="12">
        <x:f>IF(L47=0,0,P47/L47)</x:f>
      </x:c>
      <x:c r="R47" s="11">
        <x:f>J47-M47</x:f>
      </x:c>
      <x:c r="S47" s="11">
        <x:f>IF(I47="Revenue",N47,-N47)</x:f>
      </x:c>
      <x:c r="T47">
        <x:f>IF(S47&gt;=0,"Favourable","Unfavourable")</x:f>
      </x:c>
      <x:c r="U47" s="11" t="n">
        <x:v>0</x:v>
      </x:c>
      <x:c r="V47" s="11" t="n">
        <x:v>-0.04</x:v>
      </x:c>
      <x:c r="W47" s="11" t="n">
        <x:v>0.01</x:v>
      </x:c>
      <x:c r="X47" s="11" t="n">
        <x:v>0.01</x:v>
      </x:c>
      <x:c r="Y47" s="11">
        <x:f>ROUND(U47+V47+W47+X47-N47,2)</x:f>
      </x:c>
      <x:c r="Z47">
        <x:f>IF(AND(ABS(ROUND(N47,2))&gt;=0.5,ABS(O47)&gt;=0.05),"Yes","No")</x:f>
      </x:c>
      <x:c r="AA47" t="inlineStr">
        <x:is>
          <x:t xml:space="preserve">Closed actual</x:t>
        </x:is>
      </x:c>
      <x:c r="AB47" t="inlineStr">
        <x:is>
          <x:t xml:space="preserve"/>
        </x:is>
      </x:c>
      <x:c r="AC47" t="inlineStr">
        <x:is>
          <x:t xml:space="preserve"/>
        </x:is>
      </x:c>
      <x:c r="AD47" t="inlineStr">
        <x:is>
          <x:t xml:space="preserve">Synthetic - CIE training only</x:t>
        </x:is>
      </x:c>
    </x:row>
    <x:row r="48">
      <x:c r="A48" t="inlineStr">
        <x:is>
          <x:t xml:space="preserve">FIN-0043</x:t>
        </x:is>
      </x:c>
      <x:c r="B48" t="inlineStr">
        <x:is>
          <x:t xml:space="preserve">P07 Jul-2026</x:t>
        </x:is>
      </x:c>
      <x:c r="C48" s="10" t="n">
        <x:v>46234</x:v>
      </x:c>
      <x:c r="D48" t="inlineStr">
        <x:is>
          <x:t xml:space="preserve">Region Atlas</x:t>
        </x:is>
      </x:c>
      <x:c r="E48" t="inlineStr">
        <x:is>
          <x:t xml:space="preserve">Centralis</x:t>
        </x:is>
      </x:c>
      <x:c r="F48" t="inlineStr">
        <x:is>
          <x:t xml:space="preserve">Digital &amp; IT</x:t>
        </x:is>
      </x:c>
      <x:c r="G48" t="inlineStr">
        <x:is>
          <x:t xml:space="preserve">CE-DIT-500</x:t>
        </x:is>
      </x:c>
      <x:c r="H48" t="inlineStr">
        <x:is>
          <x:t xml:space="preserve">Digital &amp; IT Cost</x:t>
        </x:is>
      </x:c>
      <x:c r="I48" t="inlineStr">
        <x:is>
          <x:t xml:space="preserve">Cost</x:t>
        </x:is>
      </x:c>
      <x:c r="J48" s="11" t="n">
        <x:v>2.12</x:v>
      </x:c>
      <x:c r="K48" s="11" t="n">
        <x:v>2.05</x:v>
      </x:c>
      <x:c r="L48" s="11" t="n">
        <x:v>1.93</x:v>
      </x:c>
      <x:c r="M48" s="11" t="n">
        <x:v>2.1</x:v>
      </x:c>
      <x:c r="N48" s="11">
        <x:f>J48-K48</x:f>
      </x:c>
      <x:c r="O48" s="12">
        <x:f>IF(K48=0,0,N48/K48)</x:f>
      </x:c>
      <x:c r="P48" s="11">
        <x:f>J48-L48</x:f>
      </x:c>
      <x:c r="Q48" s="12">
        <x:f>IF(L48=0,0,P48/L48)</x:f>
      </x:c>
      <x:c r="R48" s="11">
        <x:f>J48-M48</x:f>
      </x:c>
      <x:c r="S48" s="11">
        <x:f>IF(I48="Revenue",N48,-N48)</x:f>
      </x:c>
      <x:c r="T48">
        <x:f>IF(S48&gt;=0,"Favourable","Unfavourable")</x:f>
      </x:c>
      <x:c r="U48" s="11" t="n">
        <x:v>0.02</x:v>
      </x:c>
      <x:c r="V48" s="11" t="n">
        <x:v>0.02</x:v>
      </x:c>
      <x:c r="W48" s="11" t="n">
        <x:v>0.02</x:v>
      </x:c>
      <x:c r="X48" s="11" t="n">
        <x:v>0.01</x:v>
      </x:c>
      <x:c r="Y48" s="11">
        <x:f>ROUND(U48+V48+W48+X48-N48,2)</x:f>
      </x:c>
      <x:c r="Z48">
        <x:f>IF(AND(ABS(ROUND(N48,2))&gt;=0.5,ABS(O48)&gt;=0.05),"Yes","No")</x:f>
      </x:c>
      <x:c r="AA48" t="inlineStr">
        <x:is>
          <x:t xml:space="preserve">Closed actual</x:t>
        </x:is>
      </x:c>
      <x:c r="AB48" t="inlineStr">
        <x:is>
          <x:t xml:space="preserve"/>
        </x:is>
      </x:c>
      <x:c r="AC48" t="inlineStr">
        <x:is>
          <x:t xml:space="preserve"/>
        </x:is>
      </x:c>
      <x:c r="AD48" t="inlineStr">
        <x:is>
          <x:t xml:space="preserve">Synthetic - CIE training only</x:t>
        </x:is>
      </x:c>
    </x:row>
    <x:row r="49">
      <x:c r="A49" t="inlineStr">
        <x:is>
          <x:t xml:space="preserve">FIN-0044</x:t>
        </x:is>
      </x:c>
      <x:c r="B49" t="inlineStr">
        <x:is>
          <x:t xml:space="preserve">P07 Jul-2026</x:t>
        </x:is>
      </x:c>
      <x:c r="C49" s="10" t="n">
        <x:v>46234</x:v>
      </x:c>
      <x:c r="D49" t="inlineStr">
        <x:is>
          <x:t xml:space="preserve">Region Atlas</x:t>
        </x:is>
      </x:c>
      <x:c r="E49" t="inlineStr">
        <x:is>
          <x:t xml:space="preserve">Centralis</x:t>
        </x:is>
      </x:c>
      <x:c r="F49" t="inlineStr">
        <x:is>
          <x:t xml:space="preserve">Finance</x:t>
        </x:is>
      </x:c>
      <x:c r="G49" t="inlineStr">
        <x:is>
          <x:t xml:space="preserve">CE-FIN-600</x:t>
        </x:is>
      </x:c>
      <x:c r="H49" t="inlineStr">
        <x:is>
          <x:t xml:space="preserve">General &amp; Admin Cost</x:t>
        </x:is>
      </x:c>
      <x:c r="I49" t="inlineStr">
        <x:is>
          <x:t xml:space="preserve">Cost</x:t>
        </x:is>
      </x:c>
      <x:c r="J49" s="11" t="n">
        <x:v>1.53</x:v>
      </x:c>
      <x:c r="K49" s="11" t="n">
        <x:v>1.52</x:v>
      </x:c>
      <x:c r="L49" s="11" t="n">
        <x:v>1.46</x:v>
      </x:c>
      <x:c r="M49" s="11" t="n">
        <x:v>1.51</x:v>
      </x:c>
      <x:c r="N49" s="11">
        <x:f>J49-K49</x:f>
      </x:c>
      <x:c r="O49" s="12">
        <x:f>IF(K49=0,0,N49/K49)</x:f>
      </x:c>
      <x:c r="P49" s="11">
        <x:f>J49-L49</x:f>
      </x:c>
      <x:c r="Q49" s="12">
        <x:f>IF(L49=0,0,P49/L49)</x:f>
      </x:c>
      <x:c r="R49" s="11">
        <x:f>J49-M49</x:f>
      </x:c>
      <x:c r="S49" s="11">
        <x:f>IF(I49="Revenue",N49,-N49)</x:f>
      </x:c>
      <x:c r="T49">
        <x:f>IF(S49&gt;=0,"Favourable","Unfavourable")</x:f>
      </x:c>
      <x:c r="U49" s="11" t="n">
        <x:v>-0.01</x:v>
      </x:c>
      <x:c r="V49" s="11" t="n">
        <x:v>0</x:v>
      </x:c>
      <x:c r="W49" s="11" t="n">
        <x:v>0.01</x:v>
      </x:c>
      <x:c r="X49" s="11" t="n">
        <x:v>0.01</x:v>
      </x:c>
      <x:c r="Y49" s="11">
        <x:f>ROUND(U49+V49+W49+X49-N49,2)</x:f>
      </x:c>
      <x:c r="Z49">
        <x:f>IF(AND(ABS(ROUND(N49,2))&gt;=0.5,ABS(O49)&gt;=0.05),"Yes","No")</x:f>
      </x:c>
      <x:c r="AA49" t="inlineStr">
        <x:is>
          <x:t xml:space="preserve">Closed actual</x:t>
        </x:is>
      </x:c>
      <x:c r="AB49" t="inlineStr">
        <x:is>
          <x:t xml:space="preserve"/>
        </x:is>
      </x:c>
      <x:c r="AC49" t="inlineStr">
        <x:is>
          <x:t xml:space="preserve"/>
        </x:is>
      </x:c>
      <x:c r="AD49" t="inlineStr">
        <x:is>
          <x:t xml:space="preserve">Synthetic - CIE training only</x:t>
        </x:is>
      </x:c>
    </x:row>
    <x:row r="50">
      <x:c r="A50" t="inlineStr">
        <x:is>
          <x:t xml:space="preserve">FIN-0045</x:t>
        </x:is>
      </x:c>
      <x:c r="B50" t="inlineStr">
        <x:is>
          <x:t xml:space="preserve">P07 Jul-2026</x:t>
        </x:is>
      </x:c>
      <x:c r="C50" s="10" t="n">
        <x:v>46234</x:v>
      </x:c>
      <x:c r="D50" t="inlineStr">
        <x:is>
          <x:t xml:space="preserve">Region Atlas</x:t>
        </x:is>
      </x:c>
      <x:c r="E50" t="inlineStr">
        <x:is>
          <x:t xml:space="preserve">Centralis</x:t>
        </x:is>
      </x:c>
      <x:c r="F50" t="inlineStr">
        <x:is>
          <x:t xml:space="preserve">Operations</x:t>
        </x:is>
      </x:c>
      <x:c r="G50" t="inlineStr">
        <x:is>
          <x:t xml:space="preserve">CE-OPS-210</x:t>
        </x:is>
      </x:c>
      <x:c r="H50" t="inlineStr">
        <x:is>
          <x:t xml:space="preserve">Facilities Cost</x:t>
        </x:is>
      </x:c>
      <x:c r="I50" t="inlineStr">
        <x:is>
          <x:t xml:space="preserve">Cost</x:t>
        </x:is>
      </x:c>
      <x:c r="J50" s="11" t="n">
        <x:v>0.95</x:v>
      </x:c>
      <x:c r="K50" s="11" t="n">
        <x:v>0.96</x:v>
      </x:c>
      <x:c r="L50" s="11" t="n">
        <x:v>0.91</x:v>
      </x:c>
      <x:c r="M50" s="11" t="n">
        <x:v>0.96</x:v>
      </x:c>
      <x:c r="N50" s="11">
        <x:f>J50-K50</x:f>
      </x:c>
      <x:c r="O50" s="12">
        <x:f>IF(K50=0,0,N50/K50)</x:f>
      </x:c>
      <x:c r="P50" s="11">
        <x:f>J50-L50</x:f>
      </x:c>
      <x:c r="Q50" s="12">
        <x:f>IF(L50=0,0,P50/L50)</x:f>
      </x:c>
      <x:c r="R50" s="11">
        <x:f>J50-M50</x:f>
      </x:c>
      <x:c r="S50" s="11">
        <x:f>IF(I50="Revenue",N50,-N50)</x:f>
      </x:c>
      <x:c r="T50">
        <x:f>IF(S50&gt;=0,"Favourable","Unfavourable")</x:f>
      </x:c>
      <x:c r="U50" s="11" t="n">
        <x:v>0.01</x:v>
      </x:c>
      <x:c r="V50" s="11" t="n">
        <x:v>-0.02</x:v>
      </x:c>
      <x:c r="W50" s="11" t="n">
        <x:v>0</x:v>
      </x:c>
      <x:c r="X50" s="11" t="n">
        <x:v>0</x:v>
      </x:c>
      <x:c r="Y50" s="11">
        <x:f>ROUND(U50+V50+W50+X50-N50,2)</x:f>
      </x:c>
      <x:c r="Z50">
        <x:f>IF(AND(ABS(ROUND(N50,2))&gt;=0.5,ABS(O50)&gt;=0.05),"Yes","No")</x:f>
      </x:c>
      <x:c r="AA50" t="inlineStr">
        <x:is>
          <x:t xml:space="preserve">Closed actual</x:t>
        </x:is>
      </x:c>
      <x:c r="AB50" t="inlineStr">
        <x:is>
          <x:t xml:space="preserve"/>
        </x:is>
      </x:c>
      <x:c r="AC50" t="inlineStr">
        <x:is>
          <x:t xml:space="preserve"/>
        </x:is>
      </x:c>
      <x:c r="AD50" t="inlineStr">
        <x:is>
          <x:t xml:space="preserve">Synthetic - CIE training only</x:t>
        </x:is>
      </x:c>
    </x:row>
    <x:row r="51">
      <x:c r="A51" t="inlineStr">
        <x:is>
          <x:t xml:space="preserve">FIN-0046</x:t>
        </x:is>
      </x:c>
      <x:c r="B51" t="inlineStr">
        <x:is>
          <x:t xml:space="preserve">P07 Jul-2026</x:t>
        </x:is>
      </x:c>
      <x:c r="C51" s="10" t="n">
        <x:v>46234</x:v>
      </x:c>
      <x:c r="D51" t="inlineStr">
        <x:is>
          <x:t xml:space="preserve">Region Atlas</x:t>
        </x:is>
      </x:c>
      <x:c r="E51" t="inlineStr">
        <x:is>
          <x:t xml:space="preserve">Islemark</x:t>
        </x:is>
      </x:c>
      <x:c r="F51" t="inlineStr">
        <x:is>
          <x:t xml:space="preserve">Commercial</x:t>
        </x:is>
      </x:c>
      <x:c r="G51" t="inlineStr">
        <x:is>
          <x:t xml:space="preserve">IM-COM-100</x:t>
        </x:is>
      </x:c>
      <x:c r="H51" t="inlineStr">
        <x:is>
          <x:t xml:space="preserve">Net Revenue</x:t>
        </x:is>
      </x:c>
      <x:c r="I51" t="inlineStr">
        <x:is>
          <x:t xml:space="preserve">Revenue</x:t>
        </x:is>
      </x:c>
      <x:c r="J51" s="11" t="n">
        <x:v>36.85</x:v>
      </x:c>
      <x:c r="K51" s="11" t="n">
        <x:v>36.67</x:v>
      </x:c>
      <x:c r="L51" s="11" t="n">
        <x:v>35.47</x:v>
      </x:c>
      <x:c r="M51" s="11" t="n">
        <x:v>37.17</x:v>
      </x:c>
      <x:c r="N51" s="11">
        <x:f>J51-K51</x:f>
      </x:c>
      <x:c r="O51" s="12">
        <x:f>IF(K51=0,0,N51/K51)</x:f>
      </x:c>
      <x:c r="P51" s="11">
        <x:f>J51-L51</x:f>
      </x:c>
      <x:c r="Q51" s="12">
        <x:f>IF(L51=0,0,P51/L51)</x:f>
      </x:c>
      <x:c r="R51" s="11">
        <x:f>J51-M51</x:f>
      </x:c>
      <x:c r="S51" s="11">
        <x:f>IF(I51="Revenue",N51,-N51)</x:f>
      </x:c>
      <x:c r="T51">
        <x:f>IF(S51&gt;=0,"Favourable","Unfavourable")</x:f>
      </x:c>
      <x:c r="U51" s="11" t="n">
        <x:v>0.86</x:v>
      </x:c>
      <x:c r="V51" s="11" t="n">
        <x:v>-0.41</x:v>
      </x:c>
      <x:c r="W51" s="11" t="n">
        <x:v>-0.31</x:v>
      </x:c>
      <x:c r="X51" s="11" t="n">
        <x:v>0.04</x:v>
      </x:c>
      <x:c r="Y51" s="11">
        <x:f>ROUND(U51+V51+W51+X51-N51,2)</x:f>
      </x:c>
      <x:c r="Z51">
        <x:f>IF(AND(ABS(ROUND(N51,2))&gt;=0.5,ABS(O51)&gt;=0.05),"Yes","No")</x:f>
      </x:c>
      <x:c r="AA51" t="inlineStr">
        <x:is>
          <x:t xml:space="preserve">Closed actual</x:t>
        </x:is>
      </x:c>
      <x:c r="AB51" t="inlineStr">
        <x:is>
          <x:t xml:space="preserve"/>
        </x:is>
      </x:c>
      <x:c r="AC51" t="inlineStr">
        <x:is>
          <x:t xml:space="preserve"/>
        </x:is>
      </x:c>
      <x:c r="AD51" t="inlineStr">
        <x:is>
          <x:t xml:space="preserve">Synthetic - CIE training only</x:t>
        </x:is>
      </x:c>
    </x:row>
    <x:row r="52">
      <x:c r="A52" t="inlineStr">
        <x:is>
          <x:t xml:space="preserve">FIN-0047</x:t>
        </x:is>
      </x:c>
      <x:c r="B52" t="inlineStr">
        <x:is>
          <x:t xml:space="preserve">P07 Jul-2026</x:t>
        </x:is>
      </x:c>
      <x:c r="C52" s="10" t="n">
        <x:v>46234</x:v>
      </x:c>
      <x:c r="D52" t="inlineStr">
        <x:is>
          <x:t xml:space="preserve">Region Atlas</x:t>
        </x:is>
      </x:c>
      <x:c r="E52" t="inlineStr">
        <x:is>
          <x:t xml:space="preserve">Islemark</x:t>
        </x:is>
      </x:c>
      <x:c r="F52" t="inlineStr">
        <x:is>
          <x:t xml:space="preserve">Finance</x:t>
        </x:is>
      </x:c>
      <x:c r="G52" t="inlineStr">
        <x:is>
          <x:t xml:space="preserve">IM-FIN-900</x:t>
        </x:is>
      </x:c>
      <x:c r="H52" t="inlineStr">
        <x:is>
          <x:t xml:space="preserve">Other Operating Income</x:t>
        </x:is>
      </x:c>
      <x:c r="I52" t="inlineStr">
        <x:is>
          <x:t xml:space="preserve">Revenue</x:t>
        </x:is>
      </x:c>
      <x:c r="J52" s="11" t="n">
        <x:v>0.97</x:v>
      </x:c>
      <x:c r="K52" s="11" t="n">
        <x:v>0.95</x:v>
      </x:c>
      <x:c r="L52" s="11" t="n">
        <x:v>0.93</x:v>
      </x:c>
      <x:c r="M52" s="11" t="n">
        <x:v>0.97</x:v>
      </x:c>
      <x:c r="N52" s="11">
        <x:f>J52-K52</x:f>
      </x:c>
      <x:c r="O52" s="12">
        <x:f>IF(K52=0,0,N52/K52)</x:f>
      </x:c>
      <x:c r="P52" s="11">
        <x:f>J52-L52</x:f>
      </x:c>
      <x:c r="Q52" s="12">
        <x:f>IF(L52=0,0,P52/L52)</x:f>
      </x:c>
      <x:c r="R52" s="11">
        <x:f>J52-M52</x:f>
      </x:c>
      <x:c r="S52" s="11">
        <x:f>IF(I52="Revenue",N52,-N52)</x:f>
      </x:c>
      <x:c r="T52">
        <x:f>IF(S52&gt;=0,"Favourable","Unfavourable")</x:f>
      </x:c>
      <x:c r="U52" s="11" t="n">
        <x:v>0.02</x:v>
      </x:c>
      <x:c r="V52" s="11" t="n">
        <x:v>-0.01</x:v>
      </x:c>
      <x:c r="W52" s="11" t="n">
        <x:v>0.01</x:v>
      </x:c>
      <x:c r="X52" s="11" t="n">
        <x:v>0</x:v>
      </x:c>
      <x:c r="Y52" s="11">
        <x:f>ROUND(U52+V52+W52+X52-N52,2)</x:f>
      </x:c>
      <x:c r="Z52">
        <x:f>IF(AND(ABS(ROUND(N52,2))&gt;=0.5,ABS(O52)&gt;=0.05),"Yes","No")</x:f>
      </x:c>
      <x:c r="AA52" t="inlineStr">
        <x:is>
          <x:t xml:space="preserve">Closed actual</x:t>
        </x:is>
      </x:c>
      <x:c r="AB52" t="inlineStr">
        <x:is>
          <x:t xml:space="preserve"/>
        </x:is>
      </x:c>
      <x:c r="AC52" t="inlineStr">
        <x:is>
          <x:t xml:space="preserve"/>
        </x:is>
      </x:c>
      <x:c r="AD52" t="inlineStr">
        <x:is>
          <x:t xml:space="preserve">Synthetic - CIE training only</x:t>
        </x:is>
      </x:c>
    </x:row>
    <x:row r="53">
      <x:c r="A53" t="inlineStr">
        <x:is>
          <x:t xml:space="preserve">FIN-0048</x:t>
        </x:is>
      </x:c>
      <x:c r="B53" t="inlineStr">
        <x:is>
          <x:t xml:space="preserve">P07 Jul-2026</x:t>
        </x:is>
      </x:c>
      <x:c r="C53" s="10" t="n">
        <x:v>46234</x:v>
      </x:c>
      <x:c r="D53" t="inlineStr">
        <x:is>
          <x:t xml:space="preserve">Region Atlas</x:t>
        </x:is>
      </x:c>
      <x:c r="E53" t="inlineStr">
        <x:is>
          <x:t xml:space="preserve">Islemark</x:t>
        </x:is>
      </x:c>
      <x:c r="F53" t="inlineStr">
        <x:is>
          <x:t xml:space="preserve">Operations</x:t>
        </x:is>
      </x:c>
      <x:c r="G53" t="inlineStr">
        <x:is>
          <x:t xml:space="preserve">IM-OPS-200</x:t>
        </x:is>
      </x:c>
      <x:c r="H53" t="inlineStr">
        <x:is>
          <x:t xml:space="preserve">Cost of Goods Sold</x:t>
        </x:is>
      </x:c>
      <x:c r="I53" t="inlineStr">
        <x:is>
          <x:t xml:space="preserve">Cost</x:t>
        </x:is>
      </x:c>
      <x:c r="J53" s="11" t="n">
        <x:v>13.51</x:v>
      </x:c>
      <x:c r="K53" s="11" t="n">
        <x:v>13.33</x:v>
      </x:c>
      <x:c r="L53" s="11" t="n">
        <x:v>12.75</x:v>
      </x:c>
      <x:c r="M53" s="11" t="n">
        <x:v>13.57</x:v>
      </x:c>
      <x:c r="N53" s="11">
        <x:f>J53-K53</x:f>
      </x:c>
      <x:c r="O53" s="12">
        <x:f>IF(K53=0,0,N53/K53)</x:f>
      </x:c>
      <x:c r="P53" s="11">
        <x:f>J53-L53</x:f>
      </x:c>
      <x:c r="Q53" s="12">
        <x:f>IF(L53=0,0,P53/L53)</x:f>
      </x:c>
      <x:c r="R53" s="11">
        <x:f>J53-M53</x:f>
      </x:c>
      <x:c r="S53" s="11">
        <x:f>IF(I53="Revenue",N53,-N53)</x:f>
      </x:c>
      <x:c r="T53">
        <x:f>IF(S53&gt;=0,"Favourable","Unfavourable")</x:f>
      </x:c>
      <x:c r="U53" s="11" t="n">
        <x:v>0.03</x:v>
      </x:c>
      <x:c r="V53" s="11" t="n">
        <x:v>0.08</x:v>
      </x:c>
      <x:c r="W53" s="11" t="n">
        <x:v>0.01</x:v>
      </x:c>
      <x:c r="X53" s="11" t="n">
        <x:v>0.06</x:v>
      </x:c>
      <x:c r="Y53" s="11">
        <x:f>ROUND(U53+V53+W53+X53-N53,2)</x:f>
      </x:c>
      <x:c r="Z53">
        <x:f>IF(AND(ABS(ROUND(N53,2))&gt;=0.5,ABS(O53)&gt;=0.05),"Yes","No")</x:f>
      </x:c>
      <x:c r="AA53" t="inlineStr">
        <x:is>
          <x:t xml:space="preserve">Closed actual</x:t>
        </x:is>
      </x:c>
      <x:c r="AB53" t="inlineStr">
        <x:is>
          <x:t xml:space="preserve"/>
        </x:is>
      </x:c>
      <x:c r="AC53" t="inlineStr">
        <x:is>
          <x:t xml:space="preserve"/>
        </x:is>
      </x:c>
      <x:c r="AD53" t="inlineStr">
        <x:is>
          <x:t xml:space="preserve">Synthetic - CIE training only</x:t>
        </x:is>
      </x:c>
    </x:row>
    <x:row r="54">
      <x:c r="A54" t="inlineStr">
        <x:is>
          <x:t xml:space="preserve">FIN-0049</x:t>
        </x:is>
      </x:c>
      <x:c r="B54" t="inlineStr">
        <x:is>
          <x:t xml:space="preserve">P07 Jul-2026</x:t>
        </x:is>
      </x:c>
      <x:c r="C54" s="10" t="n">
        <x:v>46234</x:v>
      </x:c>
      <x:c r="D54" t="inlineStr">
        <x:is>
          <x:t xml:space="preserve">Region Atlas</x:t>
        </x:is>
      </x:c>
      <x:c r="E54" t="inlineStr">
        <x:is>
          <x:t xml:space="preserve">Islemark</x:t>
        </x:is>
      </x:c>
      <x:c r="F54" t="inlineStr">
        <x:is>
          <x:t xml:space="preserve">Supply Chain</x:t>
        </x:is>
      </x:c>
      <x:c r="G54" t="inlineStr">
        <x:is>
          <x:t xml:space="preserve">IM-SCM-300</x:t>
        </x:is>
      </x:c>
      <x:c r="H54" t="inlineStr">
        <x:is>
          <x:t xml:space="preserve">Logistics &amp; Distribution</x:t>
        </x:is>
      </x:c>
      <x:c r="I54" t="inlineStr">
        <x:is>
          <x:t xml:space="preserve">Cost</x:t>
        </x:is>
      </x:c>
      <x:c r="J54" s="11" t="n">
        <x:v>2.67</x:v>
      </x:c>
      <x:c r="K54" s="11" t="n">
        <x:v>2.64</x:v>
      </x:c>
      <x:c r="L54" s="11" t="n">
        <x:v>2.49</x:v>
      </x:c>
      <x:c r="M54" s="11" t="n">
        <x:v>2.65</x:v>
      </x:c>
      <x:c r="N54" s="11">
        <x:f>J54-K54</x:f>
      </x:c>
      <x:c r="O54" s="12">
        <x:f>IF(K54=0,0,N54/K54)</x:f>
      </x:c>
      <x:c r="P54" s="11">
        <x:f>J54-L54</x:f>
      </x:c>
      <x:c r="Q54" s="12">
        <x:f>IF(L54=0,0,P54/L54)</x:f>
      </x:c>
      <x:c r="R54" s="11">
        <x:f>J54-M54</x:f>
      </x:c>
      <x:c r="S54" s="11">
        <x:f>IF(I54="Revenue",N54,-N54)</x:f>
      </x:c>
      <x:c r="T54">
        <x:f>IF(S54&gt;=0,"Favourable","Unfavourable")</x:f>
      </x:c>
      <x:c r="U54" s="11" t="n">
        <x:v>0.02</x:v>
      </x:c>
      <x:c r="V54" s="11" t="n">
        <x:v>-0.03</x:v>
      </x:c>
      <x:c r="W54" s="11" t="n">
        <x:v>0.02</x:v>
      </x:c>
      <x:c r="X54" s="11" t="n">
        <x:v>0.02</x:v>
      </x:c>
      <x:c r="Y54" s="11">
        <x:f>ROUND(U54+V54+W54+X54-N54,2)</x:f>
      </x:c>
      <x:c r="Z54">
        <x:f>IF(AND(ABS(ROUND(N54,2))&gt;=0.5,ABS(O54)&gt;=0.05),"Yes","No")</x:f>
      </x:c>
      <x:c r="AA54" t="inlineStr">
        <x:is>
          <x:t xml:space="preserve">Closed actual</x:t>
        </x:is>
      </x:c>
      <x:c r="AB54" t="inlineStr">
        <x:is>
          <x:t xml:space="preserve"/>
        </x:is>
      </x:c>
      <x:c r="AC54" t="inlineStr">
        <x:is>
          <x:t xml:space="preserve"/>
        </x:is>
      </x:c>
      <x:c r="AD54" t="inlineStr">
        <x:is>
          <x:t xml:space="preserve">Synthetic - CIE training only</x:t>
        </x:is>
      </x:c>
    </x:row>
    <x:row r="55">
      <x:c r="A55" t="inlineStr">
        <x:is>
          <x:t xml:space="preserve">FIN-0050</x:t>
        </x:is>
      </x:c>
      <x:c r="B55" t="inlineStr">
        <x:is>
          <x:t xml:space="preserve">P07 Jul-2026</x:t>
        </x:is>
      </x:c>
      <x:c r="C55" s="10" t="n">
        <x:v>46234</x:v>
      </x:c>
      <x:c r="D55" t="inlineStr">
        <x:is>
          <x:t xml:space="preserve">Region Atlas</x:t>
        </x:is>
      </x:c>
      <x:c r="E55" t="inlineStr">
        <x:is>
          <x:t xml:space="preserve">Islemark</x:t>
        </x:is>
      </x:c>
      <x:c r="F55" t="inlineStr">
        <x:is>
          <x:t xml:space="preserve">Marketing</x:t>
        </x:is>
      </x:c>
      <x:c r="G55" t="inlineStr">
        <x:is>
          <x:t xml:space="preserve">IM-MKT-400</x:t>
        </x:is>
      </x:c>
      <x:c r="H55" t="inlineStr">
        <x:is>
          <x:t xml:space="preserve">Trade Marketing Investment</x:t>
        </x:is>
      </x:c>
      <x:c r="I55" t="inlineStr">
        <x:is>
          <x:t xml:space="preserve">Cost</x:t>
        </x:is>
      </x:c>
      <x:c r="J55" s="11" t="n">
        <x:v>3.79</x:v>
      </x:c>
      <x:c r="K55" s="11" t="n">
        <x:v>3.8</x:v>
      </x:c>
      <x:c r="L55" s="11" t="n">
        <x:v>3.76</x:v>
      </x:c>
      <x:c r="M55" s="11" t="n">
        <x:v>3.83</x:v>
      </x:c>
      <x:c r="N55" s="11">
        <x:f>J55-K55</x:f>
      </x:c>
      <x:c r="O55" s="12">
        <x:f>IF(K55=0,0,N55/K55)</x:f>
      </x:c>
      <x:c r="P55" s="11">
        <x:f>J55-L55</x:f>
      </x:c>
      <x:c r="Q55" s="12">
        <x:f>IF(L55=0,0,P55/L55)</x:f>
      </x:c>
      <x:c r="R55" s="11">
        <x:f>J55-M55</x:f>
      </x:c>
      <x:c r="S55" s="11">
        <x:f>IF(I55="Revenue",N55,-N55)</x:f>
      </x:c>
      <x:c r="T55">
        <x:f>IF(S55&gt;=0,"Favourable","Unfavourable")</x:f>
      </x:c>
      <x:c r="U55" s="11" t="n">
        <x:v>0.01</x:v>
      </x:c>
      <x:c r="V55" s="11" t="n">
        <x:v>0.01</x:v>
      </x:c>
      <x:c r="W55" s="11" t="n">
        <x:v>-0.02</x:v>
      </x:c>
      <x:c r="X55" s="11" t="n">
        <x:v>-0.01</x:v>
      </x:c>
      <x:c r="Y55" s="11">
        <x:f>ROUND(U55+V55+W55+X55-N55,2)</x:f>
      </x:c>
      <x:c r="Z55">
        <x:f>IF(AND(ABS(ROUND(N55,2))&gt;=0.5,ABS(O55)&gt;=0.05),"Yes","No")</x:f>
      </x:c>
      <x:c r="AA55" t="inlineStr">
        <x:is>
          <x:t xml:space="preserve">Closed actual</x:t>
        </x:is>
      </x:c>
      <x:c r="AB55" t="inlineStr">
        <x:is>
          <x:t xml:space="preserve"/>
        </x:is>
      </x:c>
      <x:c r="AC55" t="inlineStr">
        <x:is>
          <x:t xml:space="preserve"/>
        </x:is>
      </x:c>
      <x:c r="AD55" t="inlineStr">
        <x:is>
          <x:t xml:space="preserve">Synthetic - CIE training only</x:t>
        </x:is>
      </x:c>
    </x:row>
    <x:row r="56">
      <x:c r="A56" t="inlineStr">
        <x:is>
          <x:t xml:space="preserve">FIN-0051</x:t>
        </x:is>
      </x:c>
      <x:c r="B56" t="inlineStr">
        <x:is>
          <x:t xml:space="preserve">P07 Jul-2026</x:t>
        </x:is>
      </x:c>
      <x:c r="C56" s="10" t="n">
        <x:v>46234</x:v>
      </x:c>
      <x:c r="D56" t="inlineStr">
        <x:is>
          <x:t xml:space="preserve">Region Atlas</x:t>
        </x:is>
      </x:c>
      <x:c r="E56" t="inlineStr">
        <x:is>
          <x:t xml:space="preserve">Islemark</x:t>
        </x:is>
      </x:c>
      <x:c r="F56" t="inlineStr">
        <x:is>
          <x:t xml:space="preserve">Commercial</x:t>
        </x:is>
      </x:c>
      <x:c r="G56" t="inlineStr">
        <x:is>
          <x:t xml:space="preserve">IM-COM-110</x:t>
        </x:is>
      </x:c>
      <x:c r="H56" t="inlineStr">
        <x:is>
          <x:t xml:space="preserve">Sales Force Cost</x:t>
        </x:is>
      </x:c>
      <x:c r="I56" t="inlineStr">
        <x:is>
          <x:t xml:space="preserve">Cost</x:t>
        </x:is>
      </x:c>
      <x:c r="J56" s="11" t="n">
        <x:v>2.12</x:v>
      </x:c>
      <x:c r="K56" s="11" t="n">
        <x:v>2.07</x:v>
      </x:c>
      <x:c r="L56" s="11" t="n">
        <x:v>1.99</x:v>
      </x:c>
      <x:c r="M56" s="11" t="n">
        <x:v>2.11</x:v>
      </x:c>
      <x:c r="N56" s="11">
        <x:f>J56-K56</x:f>
      </x:c>
      <x:c r="O56" s="12">
        <x:f>IF(K56=0,0,N56/K56)</x:f>
      </x:c>
      <x:c r="P56" s="11">
        <x:f>J56-L56</x:f>
      </x:c>
      <x:c r="Q56" s="12">
        <x:f>IF(L56=0,0,P56/L56)</x:f>
      </x:c>
      <x:c r="R56" s="11">
        <x:f>J56-M56</x:f>
      </x:c>
      <x:c r="S56" s="11">
        <x:f>IF(I56="Revenue",N56,-N56)</x:f>
      </x:c>
      <x:c r="T56">
        <x:f>IF(S56&gt;=0,"Favourable","Unfavourable")</x:f>
      </x:c>
      <x:c r="U56" s="11" t="n">
        <x:v>0.02</x:v>
      </x:c>
      <x:c r="V56" s="11" t="n">
        <x:v>0.04</x:v>
      </x:c>
      <x:c r="W56" s="11" t="n">
        <x:v>-0.01</x:v>
      </x:c>
      <x:c r="X56" s="11" t="n">
        <x:v>0</x:v>
      </x:c>
      <x:c r="Y56" s="11">
        <x:f>ROUND(U56+V56+W56+X56-N56,2)</x:f>
      </x:c>
      <x:c r="Z56">
        <x:f>IF(AND(ABS(ROUND(N56,2))&gt;=0.5,ABS(O56)&gt;=0.05),"Yes","No")</x:f>
      </x:c>
      <x:c r="AA56" t="inlineStr">
        <x:is>
          <x:t xml:space="preserve">Closed actual</x:t>
        </x:is>
      </x:c>
      <x:c r="AB56" t="inlineStr">
        <x:is>
          <x:t xml:space="preserve"/>
        </x:is>
      </x:c>
      <x:c r="AC56" t="inlineStr">
        <x:is>
          <x:t xml:space="preserve"/>
        </x:is>
      </x:c>
      <x:c r="AD56" t="inlineStr">
        <x:is>
          <x:t xml:space="preserve">Synthetic - CIE training only</x:t>
        </x:is>
      </x:c>
    </x:row>
    <x:row r="57">
      <x:c r="A57" t="inlineStr">
        <x:is>
          <x:t xml:space="preserve">FIN-0052</x:t>
        </x:is>
      </x:c>
      <x:c r="B57" t="inlineStr">
        <x:is>
          <x:t xml:space="preserve">P07 Jul-2026</x:t>
        </x:is>
      </x:c>
      <x:c r="C57" s="10" t="n">
        <x:v>46234</x:v>
      </x:c>
      <x:c r="D57" t="inlineStr">
        <x:is>
          <x:t xml:space="preserve">Region Atlas</x:t>
        </x:is>
      </x:c>
      <x:c r="E57" t="inlineStr">
        <x:is>
          <x:t xml:space="preserve">Islemark</x:t>
        </x:is>
      </x:c>
      <x:c r="F57" t="inlineStr">
        <x:is>
          <x:t xml:space="preserve">Digital &amp; IT</x:t>
        </x:is>
      </x:c>
      <x:c r="G57" t="inlineStr">
        <x:is>
          <x:t xml:space="preserve">IM-DIT-500</x:t>
        </x:is>
      </x:c>
      <x:c r="H57" t="inlineStr">
        <x:is>
          <x:t xml:space="preserve">Digital &amp; IT Cost</x:t>
        </x:is>
      </x:c>
      <x:c r="I57" t="inlineStr">
        <x:is>
          <x:t xml:space="preserve">Cost</x:t>
        </x:is>
      </x:c>
      <x:c r="J57" s="11" t="n">
        <x:v>1.47</x:v>
      </x:c>
      <x:c r="K57" s="11" t="n">
        <x:v>1.46</x:v>
      </x:c>
      <x:c r="L57" s="11" t="n">
        <x:v>1.36</x:v>
      </x:c>
      <x:c r="M57" s="11" t="n">
        <x:v>1.46</x:v>
      </x:c>
      <x:c r="N57" s="11">
        <x:f>J57-K57</x:f>
      </x:c>
      <x:c r="O57" s="12">
        <x:f>IF(K57=0,0,N57/K57)</x:f>
      </x:c>
      <x:c r="P57" s="11">
        <x:f>J57-L57</x:f>
      </x:c>
      <x:c r="Q57" s="12">
        <x:f>IF(L57=0,0,P57/L57)</x:f>
      </x:c>
      <x:c r="R57" s="11">
        <x:f>J57-M57</x:f>
      </x:c>
      <x:c r="S57" s="11">
        <x:f>IF(I57="Revenue",N57,-N57)</x:f>
      </x:c>
      <x:c r="T57">
        <x:f>IF(S57&gt;=0,"Favourable","Unfavourable")</x:f>
      </x:c>
      <x:c r="U57" s="11" t="n">
        <x:v>0.01</x:v>
      </x:c>
      <x:c r="V57" s="11" t="n">
        <x:v>0</x:v>
      </x:c>
      <x:c r="W57" s="11" t="n">
        <x:v>0.01</x:v>
      </x:c>
      <x:c r="X57" s="11" t="n">
        <x:v>-0.01</x:v>
      </x:c>
      <x:c r="Y57" s="11">
        <x:f>ROUND(U57+V57+W57+X57-N57,2)</x:f>
      </x:c>
      <x:c r="Z57">
        <x:f>IF(AND(ABS(ROUND(N57,2))&gt;=0.5,ABS(O57)&gt;=0.05),"Yes","No")</x:f>
      </x:c>
      <x:c r="AA57" t="inlineStr">
        <x:is>
          <x:t xml:space="preserve">Closed actual</x:t>
        </x:is>
      </x:c>
      <x:c r="AB57" t="inlineStr">
        <x:is>
          <x:t xml:space="preserve"/>
        </x:is>
      </x:c>
      <x:c r="AC57" t="inlineStr">
        <x:is>
          <x:t xml:space="preserve"/>
        </x:is>
      </x:c>
      <x:c r="AD57" t="inlineStr">
        <x:is>
          <x:t xml:space="preserve">Synthetic - CIE training only</x:t>
        </x:is>
      </x:c>
    </x:row>
    <x:row r="58">
      <x:c r="A58" t="inlineStr">
        <x:is>
          <x:t xml:space="preserve">FIN-0053</x:t>
        </x:is>
      </x:c>
      <x:c r="B58" t="inlineStr">
        <x:is>
          <x:t xml:space="preserve">P07 Jul-2026</x:t>
        </x:is>
      </x:c>
      <x:c r="C58" s="10" t="n">
        <x:v>46234</x:v>
      </x:c>
      <x:c r="D58" t="inlineStr">
        <x:is>
          <x:t xml:space="preserve">Region Atlas</x:t>
        </x:is>
      </x:c>
      <x:c r="E58" t="inlineStr">
        <x:is>
          <x:t xml:space="preserve">Islemark</x:t>
        </x:is>
      </x:c>
      <x:c r="F58" t="inlineStr">
        <x:is>
          <x:t xml:space="preserve">Finance</x:t>
        </x:is>
      </x:c>
      <x:c r="G58" t="inlineStr">
        <x:is>
          <x:t xml:space="preserve">IM-FIN-600</x:t>
        </x:is>
      </x:c>
      <x:c r="H58" t="inlineStr">
        <x:is>
          <x:t xml:space="preserve">General &amp; Admin Cost</x:t>
        </x:is>
      </x:c>
      <x:c r="I58" t="inlineStr">
        <x:is>
          <x:t xml:space="preserve">Cost</x:t>
        </x:is>
      </x:c>
      <x:c r="J58" s="11" t="n">
        <x:v>1.2</x:v>
      </x:c>
      <x:c r="K58" s="11" t="n">
        <x:v>1.19</x:v>
      </x:c>
      <x:c r="L58" s="11" t="n">
        <x:v>1.11</x:v>
      </x:c>
      <x:c r="M58" s="11" t="n">
        <x:v>1.18</x:v>
      </x:c>
      <x:c r="N58" s="11">
        <x:f>J58-K58</x:f>
      </x:c>
      <x:c r="O58" s="12">
        <x:f>IF(K58=0,0,N58/K58)</x:f>
      </x:c>
      <x:c r="P58" s="11">
        <x:f>J58-L58</x:f>
      </x:c>
      <x:c r="Q58" s="12">
        <x:f>IF(L58=0,0,P58/L58)</x:f>
      </x:c>
      <x:c r="R58" s="11">
        <x:f>J58-M58</x:f>
      </x:c>
      <x:c r="S58" s="11">
        <x:f>IF(I58="Revenue",N58,-N58)</x:f>
      </x:c>
      <x:c r="T58">
        <x:f>IF(S58&gt;=0,"Favourable","Unfavourable")</x:f>
      </x:c>
      <x:c r="U58" s="11" t="n">
        <x:v>0</x:v>
      </x:c>
      <x:c r="V58" s="11" t="n">
        <x:v>0.01</x:v>
      </x:c>
      <x:c r="W58" s="11" t="n">
        <x:v>0</x:v>
      </x:c>
      <x:c r="X58" s="11" t="n">
        <x:v>0</x:v>
      </x:c>
      <x:c r="Y58" s="11">
        <x:f>ROUND(U58+V58+W58+X58-N58,2)</x:f>
      </x:c>
      <x:c r="Z58">
        <x:f>IF(AND(ABS(ROUND(N58,2))&gt;=0.5,ABS(O58)&gt;=0.05),"Yes","No")</x:f>
      </x:c>
      <x:c r="AA58" t="inlineStr">
        <x:is>
          <x:t xml:space="preserve">Closed actual</x:t>
        </x:is>
      </x:c>
      <x:c r="AB58" t="inlineStr">
        <x:is>
          <x:t xml:space="preserve"/>
        </x:is>
      </x:c>
      <x:c r="AC58" t="inlineStr">
        <x:is>
          <x:t xml:space="preserve"/>
        </x:is>
      </x:c>
      <x:c r="AD58" t="inlineStr">
        <x:is>
          <x:t xml:space="preserve">Synthetic - CIE training only</x:t>
        </x:is>
      </x:c>
    </x:row>
    <x:row r="59">
      <x:c r="A59" t="inlineStr">
        <x:is>
          <x:t xml:space="preserve">FIN-0054</x:t>
        </x:is>
      </x:c>
      <x:c r="B59" t="inlineStr">
        <x:is>
          <x:t xml:space="preserve">P07 Jul-2026</x:t>
        </x:is>
      </x:c>
      <x:c r="C59" s="10" t="n">
        <x:v>46234</x:v>
      </x:c>
      <x:c r="D59" t="inlineStr">
        <x:is>
          <x:t xml:space="preserve">Region Atlas</x:t>
        </x:is>
      </x:c>
      <x:c r="E59" t="inlineStr">
        <x:is>
          <x:t xml:space="preserve">Islemark</x:t>
        </x:is>
      </x:c>
      <x:c r="F59" t="inlineStr">
        <x:is>
          <x:t xml:space="preserve">Operations</x:t>
        </x:is>
      </x:c>
      <x:c r="G59" t="inlineStr">
        <x:is>
          <x:t xml:space="preserve">IM-OPS-210</x:t>
        </x:is>
      </x:c>
      <x:c r="H59" t="inlineStr">
        <x:is>
          <x:t xml:space="preserve">Facilities Cost</x:t>
        </x:is>
      </x:c>
      <x:c r="I59" t="inlineStr">
        <x:is>
          <x:t xml:space="preserve">Cost</x:t>
        </x:is>
      </x:c>
      <x:c r="J59" s="11" t="n">
        <x:v>0.74</x:v>
      </x:c>
      <x:c r="K59" s="11" t="n">
        <x:v>0.75</x:v>
      </x:c>
      <x:c r="L59" s="11" t="n">
        <x:v>0.73</x:v>
      </x:c>
      <x:c r="M59" s="11" t="n">
        <x:v>0.74</x:v>
      </x:c>
      <x:c r="N59" s="11">
        <x:f>J59-K59</x:f>
      </x:c>
      <x:c r="O59" s="12">
        <x:f>IF(K59=0,0,N59/K59)</x:f>
      </x:c>
      <x:c r="P59" s="11">
        <x:f>J59-L59</x:f>
      </x:c>
      <x:c r="Q59" s="12">
        <x:f>IF(L59=0,0,P59/L59)</x:f>
      </x:c>
      <x:c r="R59" s="11">
        <x:f>J59-M59</x:f>
      </x:c>
      <x:c r="S59" s="11">
        <x:f>IF(I59="Revenue",N59,-N59)</x:f>
      </x:c>
      <x:c r="T59">
        <x:f>IF(S59&gt;=0,"Favourable","Unfavourable")</x:f>
      </x:c>
      <x:c r="U59" s="11" t="n">
        <x:v>0</x:v>
      </x:c>
      <x:c r="V59" s="11" t="n">
        <x:v>-0.01</x:v>
      </x:c>
      <x:c r="W59" s="11" t="n">
        <x:v>0</x:v>
      </x:c>
      <x:c r="X59" s="11" t="n">
        <x:v>0</x:v>
      </x:c>
      <x:c r="Y59" s="11">
        <x:f>ROUND(U59+V59+W59+X59-N59,2)</x:f>
      </x:c>
      <x:c r="Z59">
        <x:f>IF(AND(ABS(ROUND(N59,2))&gt;=0.5,ABS(O59)&gt;=0.05),"Yes","No")</x:f>
      </x:c>
      <x:c r="AA59" t="inlineStr">
        <x:is>
          <x:t xml:space="preserve">Closed actual</x:t>
        </x:is>
      </x:c>
      <x:c r="AB59" t="inlineStr">
        <x:is>
          <x:t xml:space="preserve"/>
        </x:is>
      </x:c>
      <x:c r="AC59" t="inlineStr">
        <x:is>
          <x:t xml:space="preserve"/>
        </x:is>
      </x:c>
      <x:c r="AD59" t="inlineStr">
        <x:is>
          <x:t xml:space="preserve">Synthetic - CIE training only</x:t>
        </x:is>
      </x:c>
    </x:row>
    <x:row r="60">
      <x:c r="A60" t="inlineStr">
        <x:is>
          <x:t xml:space="preserve">FIN-0055</x:t>
        </x:is>
      </x:c>
      <x:c r="B60" t="inlineStr">
        <x:is>
          <x:t xml:space="preserve">P08 Aug-2026</x:t>
        </x:is>
      </x:c>
      <x:c r="C60" s="10" t="n">
        <x:v>46265</x:v>
      </x:c>
      <x:c r="D60" t="inlineStr">
        <x:is>
          <x:t xml:space="preserve">Region Atlas</x:t>
        </x:is>
      </x:c>
      <x:c r="E60" t="inlineStr">
        <x:is>
          <x:t xml:space="preserve">Northmere</x:t>
        </x:is>
      </x:c>
      <x:c r="F60" t="inlineStr">
        <x:is>
          <x:t xml:space="preserve">Commercial</x:t>
        </x:is>
      </x:c>
      <x:c r="G60" t="inlineStr">
        <x:is>
          <x:t xml:space="preserve">NM-COM-100</x:t>
        </x:is>
      </x:c>
      <x:c r="H60" t="inlineStr">
        <x:is>
          <x:t xml:space="preserve">Net Revenue</x:t>
        </x:is>
      </x:c>
      <x:c r="I60" t="inlineStr">
        <x:is>
          <x:t xml:space="preserve">Revenue</x:t>
        </x:is>
      </x:c>
      <x:c r="J60" s="11" t="n">
        <x:v>81.75</x:v>
      </x:c>
      <x:c r="K60" s="11" t="n">
        <x:v>79.13</x:v>
      </x:c>
      <x:c r="L60" s="11" t="n">
        <x:v>75.79000000000001</x:v>
      </x:c>
      <x:c r="M60" s="11" t="n">
        <x:v>81.20999999999999</x:v>
      </x:c>
      <x:c r="N60" s="11">
        <x:f>J60-K60</x:f>
      </x:c>
      <x:c r="O60" s="12">
        <x:f>IF(K60=0,0,N60/K60)</x:f>
      </x:c>
      <x:c r="P60" s="11">
        <x:f>J60-L60</x:f>
      </x:c>
      <x:c r="Q60" s="12">
        <x:f>IF(L60=0,0,P60/L60)</x:f>
      </x:c>
      <x:c r="R60" s="11">
        <x:f>J60-M60</x:f>
      </x:c>
      <x:c r="S60" s="11">
        <x:f>IF(I60="Revenue",N60,-N60)</x:f>
      </x:c>
      <x:c r="T60">
        <x:f>IF(S60&gt;=0,"Favourable","Unfavourable")</x:f>
      </x:c>
      <x:c r="U60" s="11" t="n">
        <x:v>-1.19</x:v>
      </x:c>
      <x:c r="V60" s="11" t="n">
        <x:v>4.35</x:v>
      </x:c>
      <x:c r="W60" s="11" t="n">
        <x:v>-0.6</x:v>
      </x:c>
      <x:c r="X60" s="11" t="n">
        <x:v>0.06</x:v>
      </x:c>
      <x:c r="Y60" s="11">
        <x:f>ROUND(U60+V60+W60+X60-N60,2)</x:f>
      </x:c>
      <x:c r="Z60">
        <x:f>IF(AND(ABS(ROUND(N60,2))&gt;=0.5,ABS(O60)&gt;=0.05),"Yes","No")</x:f>
      </x:c>
      <x:c r="AA60" t="inlineStr">
        <x:is>
          <x:t xml:space="preserve">Closed actual</x:t>
        </x:is>
      </x:c>
      <x:c r="AB60" t="inlineStr">
        <x:is>
          <x:t xml:space="preserve"/>
        </x:is>
      </x:c>
      <x:c r="AC60" t="inlineStr">
        <x:is>
          <x:t xml:space="preserve">Favourable price/mix from premium portfolio (synthetic); sustainability to be validated</x:t>
        </x:is>
      </x:c>
      <x:c r="AD60" t="inlineStr">
        <x:is>
          <x:t xml:space="preserve">Synthetic - CIE training only</x:t>
        </x:is>
      </x:c>
    </x:row>
    <x:row r="61">
      <x:c r="A61" t="inlineStr">
        <x:is>
          <x:t xml:space="preserve">FIN-0056</x:t>
        </x:is>
      </x:c>
      <x:c r="B61" t="inlineStr">
        <x:is>
          <x:t xml:space="preserve">P08 Aug-2026</x:t>
        </x:is>
      </x:c>
      <x:c r="C61" s="10" t="n">
        <x:v>46265</x:v>
      </x:c>
      <x:c r="D61" t="inlineStr">
        <x:is>
          <x:t xml:space="preserve">Region Atlas</x:t>
        </x:is>
      </x:c>
      <x:c r="E61" t="inlineStr">
        <x:is>
          <x:t xml:space="preserve">Northmere</x:t>
        </x:is>
      </x:c>
      <x:c r="F61" t="inlineStr">
        <x:is>
          <x:t xml:space="preserve">Finance</x:t>
        </x:is>
      </x:c>
      <x:c r="G61" t="inlineStr">
        <x:is>
          <x:t xml:space="preserve">NM-FIN-900</x:t>
        </x:is>
      </x:c>
      <x:c r="H61" t="inlineStr">
        <x:is>
          <x:t xml:space="preserve">Other Operating Income</x:t>
        </x:is>
      </x:c>
      <x:c r="I61" t="inlineStr">
        <x:is>
          <x:t xml:space="preserve">Revenue</x:t>
        </x:is>
      </x:c>
      <x:c r="J61" s="11" t="n">
        <x:v>2.1</x:v>
      </x:c>
      <x:c r="K61" s="11" t="n">
        <x:v>2.06</x:v>
      </x:c>
      <x:c r="L61" s="11" t="n">
        <x:v>2.01</x:v>
      </x:c>
      <x:c r="M61" s="11" t="n">
        <x:v>2.07</x:v>
      </x:c>
      <x:c r="N61" s="11">
        <x:f>J61-K61</x:f>
      </x:c>
      <x:c r="O61" s="12">
        <x:f>IF(K61=0,0,N61/K61)</x:f>
      </x:c>
      <x:c r="P61" s="11">
        <x:f>J61-L61</x:f>
      </x:c>
      <x:c r="Q61" s="12">
        <x:f>IF(L61=0,0,P61/L61)</x:f>
      </x:c>
      <x:c r="R61" s="11">
        <x:f>J61-M61</x:f>
      </x:c>
      <x:c r="S61" s="11">
        <x:f>IF(I61="Revenue",N61,-N61)</x:f>
      </x:c>
      <x:c r="T61">
        <x:f>IF(S61&gt;=0,"Favourable","Unfavourable")</x:f>
      </x:c>
      <x:c r="U61" s="11" t="n">
        <x:v>0</x:v>
      </x:c>
      <x:c r="V61" s="11" t="n">
        <x:v>0.03</x:v>
      </x:c>
      <x:c r="W61" s="11" t="n">
        <x:v>0.01</x:v>
      </x:c>
      <x:c r="X61" s="11" t="n">
        <x:v>0</x:v>
      </x:c>
      <x:c r="Y61" s="11">
        <x:f>ROUND(U61+V61+W61+X61-N61,2)</x:f>
      </x:c>
      <x:c r="Z61">
        <x:f>IF(AND(ABS(ROUND(N61,2))&gt;=0.5,ABS(O61)&gt;=0.05),"Yes","No")</x:f>
      </x:c>
      <x:c r="AA61" t="inlineStr">
        <x:is>
          <x:t xml:space="preserve">Closed actual</x:t>
        </x:is>
      </x:c>
      <x:c r="AB61" t="inlineStr">
        <x:is>
          <x:t xml:space="preserve"/>
        </x:is>
      </x:c>
      <x:c r="AC61" t="inlineStr">
        <x:is>
          <x:t xml:space="preserve"/>
        </x:is>
      </x:c>
      <x:c r="AD61" t="inlineStr">
        <x:is>
          <x:t xml:space="preserve">Synthetic - CIE training only</x:t>
        </x:is>
      </x:c>
    </x:row>
    <x:row r="62">
      <x:c r="A62" t="inlineStr">
        <x:is>
          <x:t xml:space="preserve">FIN-0057</x:t>
        </x:is>
      </x:c>
      <x:c r="B62" t="inlineStr">
        <x:is>
          <x:t xml:space="preserve">P08 Aug-2026</x:t>
        </x:is>
      </x:c>
      <x:c r="C62" s="10" t="n">
        <x:v>46265</x:v>
      </x:c>
      <x:c r="D62" t="inlineStr">
        <x:is>
          <x:t xml:space="preserve">Region Atlas</x:t>
        </x:is>
      </x:c>
      <x:c r="E62" t="inlineStr">
        <x:is>
          <x:t xml:space="preserve">Northmere</x:t>
        </x:is>
      </x:c>
      <x:c r="F62" t="inlineStr">
        <x:is>
          <x:t xml:space="preserve">Operations</x:t>
        </x:is>
      </x:c>
      <x:c r="G62" t="inlineStr">
        <x:is>
          <x:t xml:space="preserve">NM-OPS-200</x:t>
        </x:is>
      </x:c>
      <x:c r="H62" t="inlineStr">
        <x:is>
          <x:t xml:space="preserve">Cost of Goods Sold</x:t>
        </x:is>
      </x:c>
      <x:c r="I62" t="inlineStr">
        <x:is>
          <x:t xml:space="preserve">Cost</x:t>
        </x:is>
      </x:c>
      <x:c r="J62" s="11" t="n">
        <x:v>28.58</x:v>
      </x:c>
      <x:c r="K62" s="11" t="n">
        <x:v>28.23</x:v>
      </x:c>
      <x:c r="L62" s="11" t="n">
        <x:v>26.96</x:v>
      </x:c>
      <x:c r="M62" s="11" t="n">
        <x:v>28.45</x:v>
      </x:c>
      <x:c r="N62" s="11">
        <x:f>J62-K62</x:f>
      </x:c>
      <x:c r="O62" s="12">
        <x:f>IF(K62=0,0,N62/K62)</x:f>
      </x:c>
      <x:c r="P62" s="11">
        <x:f>J62-L62</x:f>
      </x:c>
      <x:c r="Q62" s="12">
        <x:f>IF(L62=0,0,P62/L62)</x:f>
      </x:c>
      <x:c r="R62" s="11">
        <x:f>J62-M62</x:f>
      </x:c>
      <x:c r="S62" s="11">
        <x:f>IF(I62="Revenue",N62,-N62)</x:f>
      </x:c>
      <x:c r="T62">
        <x:f>IF(S62&gt;=0,"Favourable","Unfavourable")</x:f>
      </x:c>
      <x:c r="U62" s="11" t="n">
        <x:v>0.24</x:v>
      </x:c>
      <x:c r="V62" s="11" t="n">
        <x:v>-0.12</x:v>
      </x:c>
      <x:c r="W62" s="11" t="n">
        <x:v>0.13</x:v>
      </x:c>
      <x:c r="X62" s="11" t="n">
        <x:v>0.1</x:v>
      </x:c>
      <x:c r="Y62" s="11">
        <x:f>ROUND(U62+V62+W62+X62-N62,2)</x:f>
      </x:c>
      <x:c r="Z62">
        <x:f>IF(AND(ABS(ROUND(N62,2))&gt;=0.5,ABS(O62)&gt;=0.05),"Yes","No")</x:f>
      </x:c>
      <x:c r="AA62" t="inlineStr">
        <x:is>
          <x:t xml:space="preserve">Closed actual</x:t>
        </x:is>
      </x:c>
      <x:c r="AB62" t="inlineStr">
        <x:is>
          <x:t xml:space="preserve"/>
        </x:is>
      </x:c>
      <x:c r="AC62" t="inlineStr">
        <x:is>
          <x:t xml:space="preserve"/>
        </x:is>
      </x:c>
      <x:c r="AD62" t="inlineStr">
        <x:is>
          <x:t xml:space="preserve">Synthetic - CIE training only</x:t>
        </x:is>
      </x:c>
    </x:row>
    <x:row r="63">
      <x:c r="A63" t="inlineStr">
        <x:is>
          <x:t xml:space="preserve">FIN-0058</x:t>
        </x:is>
      </x:c>
      <x:c r="B63" t="inlineStr">
        <x:is>
          <x:t xml:space="preserve">P08 Aug-2026</x:t>
        </x:is>
      </x:c>
      <x:c r="C63" s="10" t="n">
        <x:v>46265</x:v>
      </x:c>
      <x:c r="D63" t="inlineStr">
        <x:is>
          <x:t xml:space="preserve">Region Atlas</x:t>
        </x:is>
      </x:c>
      <x:c r="E63" t="inlineStr">
        <x:is>
          <x:t xml:space="preserve">Northmere</x:t>
        </x:is>
      </x:c>
      <x:c r="F63" t="inlineStr">
        <x:is>
          <x:t xml:space="preserve">Supply Chain</x:t>
        </x:is>
      </x:c>
      <x:c r="G63" t="inlineStr">
        <x:is>
          <x:t xml:space="preserve">NM-SCM-300</x:t>
        </x:is>
      </x:c>
      <x:c r="H63" t="inlineStr">
        <x:is>
          <x:t xml:space="preserve">Logistics &amp; Distribution</x:t>
        </x:is>
      </x:c>
      <x:c r="I63" t="inlineStr">
        <x:is>
          <x:t xml:space="preserve">Cost</x:t>
        </x:is>
      </x:c>
      <x:c r="J63" s="11" t="n">
        <x:v>5.84</x:v>
      </x:c>
      <x:c r="K63" s="11" t="n">
        <x:v>6.04</x:v>
      </x:c>
      <x:c r="L63" s="11" t="n">
        <x:v>5.73</x:v>
      </x:c>
      <x:c r="M63" s="11" t="n">
        <x:v>5.92</x:v>
      </x:c>
      <x:c r="N63" s="11">
        <x:f>J63-K63</x:f>
      </x:c>
      <x:c r="O63" s="12">
        <x:f>IF(K63=0,0,N63/K63)</x:f>
      </x:c>
      <x:c r="P63" s="11">
        <x:f>J63-L63</x:f>
      </x:c>
      <x:c r="Q63" s="12">
        <x:f>IF(L63=0,0,P63/L63)</x:f>
      </x:c>
      <x:c r="R63" s="11">
        <x:f>J63-M63</x:f>
      </x:c>
      <x:c r="S63" s="11">
        <x:f>IF(I63="Revenue",N63,-N63)</x:f>
      </x:c>
      <x:c r="T63">
        <x:f>IF(S63&gt;=0,"Favourable","Unfavourable")</x:f>
      </x:c>
      <x:c r="U63" s="11" t="n">
        <x:v>-0.16</x:v>
      </x:c>
      <x:c r="V63" s="11" t="n">
        <x:v>-0.08</x:v>
      </x:c>
      <x:c r="W63" s="11" t="n">
        <x:v>0</x:v>
      </x:c>
      <x:c r="X63" s="11" t="n">
        <x:v>0.04</x:v>
      </x:c>
      <x:c r="Y63" s="11">
        <x:f>ROUND(U63+V63+W63+X63-N63,2)</x:f>
      </x:c>
      <x:c r="Z63">
        <x:f>IF(AND(ABS(ROUND(N63,2))&gt;=0.5,ABS(O63)&gt;=0.05),"Yes","No")</x:f>
      </x:c>
      <x:c r="AA63" t="inlineStr">
        <x:is>
          <x:t xml:space="preserve">Closed actual</x:t>
        </x:is>
      </x:c>
      <x:c r="AB63" t="inlineStr">
        <x:is>
          <x:t xml:space="preserve"/>
        </x:is>
      </x:c>
      <x:c r="AC63" t="inlineStr">
        <x:is>
          <x:t xml:space="preserve"/>
        </x:is>
      </x:c>
      <x:c r="AD63" t="inlineStr">
        <x:is>
          <x:t xml:space="preserve">Synthetic - CIE training only</x:t>
        </x:is>
      </x:c>
    </x:row>
    <x:row r="64">
      <x:c r="A64" t="inlineStr">
        <x:is>
          <x:t xml:space="preserve">FIN-0059</x:t>
        </x:is>
      </x:c>
      <x:c r="B64" t="inlineStr">
        <x:is>
          <x:t xml:space="preserve">P08 Aug-2026</x:t>
        </x:is>
      </x:c>
      <x:c r="C64" s="10" t="n">
        <x:v>46265</x:v>
      </x:c>
      <x:c r="D64" t="inlineStr">
        <x:is>
          <x:t xml:space="preserve">Region Atlas</x:t>
        </x:is>
      </x:c>
      <x:c r="E64" t="inlineStr">
        <x:is>
          <x:t xml:space="preserve">Northmere</x:t>
        </x:is>
      </x:c>
      <x:c r="F64" t="inlineStr">
        <x:is>
          <x:t xml:space="preserve">Marketing</x:t>
        </x:is>
      </x:c>
      <x:c r="G64" t="inlineStr">
        <x:is>
          <x:t xml:space="preserve">NM-MKT-400</x:t>
        </x:is>
      </x:c>
      <x:c r="H64" t="inlineStr">
        <x:is>
          <x:t xml:space="preserve">Trade Marketing Investment</x:t>
        </x:is>
      </x:c>
      <x:c r="I64" t="inlineStr">
        <x:is>
          <x:t xml:space="preserve">Cost</x:t>
        </x:is>
      </x:c>
      <x:c r="J64" s="11" t="n">
        <x:v>8.42</x:v>
      </x:c>
      <x:c r="K64" s="11" t="n">
        <x:v>8.26</x:v>
      </x:c>
      <x:c r="L64" s="11" t="n">
        <x:v>7.84</x:v>
      </x:c>
      <x:c r="M64" s="11" t="n">
        <x:v>8.369999999999999</x:v>
      </x:c>
      <x:c r="N64" s="11">
        <x:f>J64-K64</x:f>
      </x:c>
      <x:c r="O64" s="12">
        <x:f>IF(K64=0,0,N64/K64)</x:f>
      </x:c>
      <x:c r="P64" s="11">
        <x:f>J64-L64</x:f>
      </x:c>
      <x:c r="Q64" s="12">
        <x:f>IF(L64=0,0,P64/L64)</x:f>
      </x:c>
      <x:c r="R64" s="11">
        <x:f>J64-M64</x:f>
      </x:c>
      <x:c r="S64" s="11">
        <x:f>IF(I64="Revenue",N64,-N64)</x:f>
      </x:c>
      <x:c r="T64">
        <x:f>IF(S64&gt;=0,"Favourable","Unfavourable")</x:f>
      </x:c>
      <x:c r="U64" s="11" t="n">
        <x:v>-0.01</x:v>
      </x:c>
      <x:c r="V64" s="11" t="n">
        <x:v>0.13</x:v>
      </x:c>
      <x:c r="W64" s="11" t="n">
        <x:v>0.03</x:v>
      </x:c>
      <x:c r="X64" s="11" t="n">
        <x:v>0.01</x:v>
      </x:c>
      <x:c r="Y64" s="11">
        <x:f>ROUND(U64+V64+W64+X64-N64,2)</x:f>
      </x:c>
      <x:c r="Z64">
        <x:f>IF(AND(ABS(ROUND(N64,2))&gt;=0.5,ABS(O64)&gt;=0.05),"Yes","No")</x:f>
      </x:c>
      <x:c r="AA64" t="inlineStr">
        <x:is>
          <x:t xml:space="preserve">Closed actual</x:t>
        </x:is>
      </x:c>
      <x:c r="AB64" t="inlineStr">
        <x:is>
          <x:t xml:space="preserve"/>
        </x:is>
      </x:c>
      <x:c r="AC64" t="inlineStr">
        <x:is>
          <x:t xml:space="preserve"/>
        </x:is>
      </x:c>
      <x:c r="AD64" t="inlineStr">
        <x:is>
          <x:t xml:space="preserve">Synthetic - CIE training only</x:t>
        </x:is>
      </x:c>
    </x:row>
    <x:row r="65">
      <x:c r="A65" t="inlineStr">
        <x:is>
          <x:t xml:space="preserve">FIN-0060</x:t>
        </x:is>
      </x:c>
      <x:c r="B65" t="inlineStr">
        <x:is>
          <x:t xml:space="preserve">P08 Aug-2026</x:t>
        </x:is>
      </x:c>
      <x:c r="C65" s="10" t="n">
        <x:v>46265</x:v>
      </x:c>
      <x:c r="D65" t="inlineStr">
        <x:is>
          <x:t xml:space="preserve">Region Atlas</x:t>
        </x:is>
      </x:c>
      <x:c r="E65" t="inlineStr">
        <x:is>
          <x:t xml:space="preserve">Northmere</x:t>
        </x:is>
      </x:c>
      <x:c r="F65" t="inlineStr">
        <x:is>
          <x:t xml:space="preserve">Commercial</x:t>
        </x:is>
      </x:c>
      <x:c r="G65" t="inlineStr">
        <x:is>
          <x:t xml:space="preserve">NM-COM-110</x:t>
        </x:is>
      </x:c>
      <x:c r="H65" t="inlineStr">
        <x:is>
          <x:t xml:space="preserve">Sales Force Cost</x:t>
        </x:is>
      </x:c>
      <x:c r="I65" t="inlineStr">
        <x:is>
          <x:t xml:space="preserve">Cost</x:t>
        </x:is>
      </x:c>
      <x:c r="J65" s="11" t="n">
        <x:v>4.46</x:v>
      </x:c>
      <x:c r="K65" s="11" t="n">
        <x:v>4.65</x:v>
      </x:c>
      <x:c r="L65" s="11" t="n">
        <x:v>4.48</x:v>
      </x:c>
      <x:c r="M65" s="11" t="n">
        <x:v>4.38</x:v>
      </x:c>
      <x:c r="N65" s="11">
        <x:f>J65-K65</x:f>
      </x:c>
      <x:c r="O65" s="12">
        <x:f>IF(K65=0,0,N65/K65)</x:f>
      </x:c>
      <x:c r="P65" s="11">
        <x:f>J65-L65</x:f>
      </x:c>
      <x:c r="Q65" s="12">
        <x:f>IF(L65=0,0,P65/L65)</x:f>
      </x:c>
      <x:c r="R65" s="11">
        <x:f>J65-M65</x:f>
      </x:c>
      <x:c r="S65" s="11">
        <x:f>IF(I65="Revenue",N65,-N65)</x:f>
      </x:c>
      <x:c r="T65">
        <x:f>IF(S65&gt;=0,"Favourable","Unfavourable")</x:f>
      </x:c>
      <x:c r="U65" s="11" t="n">
        <x:v>-0.01</x:v>
      </x:c>
      <x:c r="V65" s="11" t="n">
        <x:v>-0.17</x:v>
      </x:c>
      <x:c r="W65" s="11" t="n">
        <x:v>0</x:v>
      </x:c>
      <x:c r="X65" s="11" t="n">
        <x:v>-0.01</x:v>
      </x:c>
      <x:c r="Y65" s="11">
        <x:f>ROUND(U65+V65+W65+X65-N65,2)</x:f>
      </x:c>
      <x:c r="Z65">
        <x:f>IF(AND(ABS(ROUND(N65,2))&gt;=0.5,ABS(O65)&gt;=0.05),"Yes","No")</x:f>
      </x:c>
      <x:c r="AA65" t="inlineStr">
        <x:is>
          <x:t xml:space="preserve">Closed actual</x:t>
        </x:is>
      </x:c>
      <x:c r="AB65" t="inlineStr">
        <x:is>
          <x:t xml:space="preserve"/>
        </x:is>
      </x:c>
      <x:c r="AC65" t="inlineStr">
        <x:is>
          <x:t xml:space="preserve"/>
        </x:is>
      </x:c>
      <x:c r="AD65" t="inlineStr">
        <x:is>
          <x:t xml:space="preserve">Synthetic - CIE training only</x:t>
        </x:is>
      </x:c>
    </x:row>
    <x:row r="66">
      <x:c r="A66" t="inlineStr">
        <x:is>
          <x:t xml:space="preserve">FIN-0061</x:t>
        </x:is>
      </x:c>
      <x:c r="B66" t="inlineStr">
        <x:is>
          <x:t xml:space="preserve">P08 Aug-2026</x:t>
        </x:is>
      </x:c>
      <x:c r="C66" s="10" t="n">
        <x:v>46265</x:v>
      </x:c>
      <x:c r="D66" t="inlineStr">
        <x:is>
          <x:t xml:space="preserve">Region Atlas</x:t>
        </x:is>
      </x:c>
      <x:c r="E66" t="inlineStr">
        <x:is>
          <x:t xml:space="preserve">Northmere</x:t>
        </x:is>
      </x:c>
      <x:c r="F66" t="inlineStr">
        <x:is>
          <x:t xml:space="preserve">Digital &amp; IT</x:t>
        </x:is>
      </x:c>
      <x:c r="G66" t="inlineStr">
        <x:is>
          <x:t xml:space="preserve">NM-DIT-500</x:t>
        </x:is>
      </x:c>
      <x:c r="H66" t="inlineStr">
        <x:is>
          <x:t xml:space="preserve">Digital &amp; IT Cost</x:t>
        </x:is>
      </x:c>
      <x:c r="I66" t="inlineStr">
        <x:is>
          <x:t xml:space="preserve">Cost</x:t>
        </x:is>
      </x:c>
      <x:c r="J66" s="11" t="n">
        <x:v>3.41</x:v>
      </x:c>
      <x:c r="K66" s="11" t="n">
        <x:v>3.38</x:v>
      </x:c>
      <x:c r="L66" s="11" t="n">
        <x:v>3.3</x:v>
      </x:c>
      <x:c r="M66" s="11" t="n">
        <x:v>3.38</x:v>
      </x:c>
      <x:c r="N66" s="11">
        <x:f>J66-K66</x:f>
      </x:c>
      <x:c r="O66" s="12">
        <x:f>IF(K66=0,0,N66/K66)</x:f>
      </x:c>
      <x:c r="P66" s="11">
        <x:f>J66-L66</x:f>
      </x:c>
      <x:c r="Q66" s="12">
        <x:f>IF(L66=0,0,P66/L66)</x:f>
      </x:c>
      <x:c r="R66" s="11">
        <x:f>J66-M66</x:f>
      </x:c>
      <x:c r="S66" s="11">
        <x:f>IF(I66="Revenue",N66,-N66)</x:f>
      </x:c>
      <x:c r="T66">
        <x:f>IF(S66&gt;=0,"Favourable","Unfavourable")</x:f>
      </x:c>
      <x:c r="U66" s="11" t="n">
        <x:v>0.04</x:v>
      </x:c>
      <x:c r="V66" s="11" t="n">
        <x:v>-0.01</x:v>
      </x:c>
      <x:c r="W66" s="11" t="n">
        <x:v>-0.01</x:v>
      </x:c>
      <x:c r="X66" s="11" t="n">
        <x:v>0.01</x:v>
      </x:c>
      <x:c r="Y66" s="11">
        <x:f>ROUND(U66+V66+W66+X66-N66,2)</x:f>
      </x:c>
      <x:c r="Z66">
        <x:f>IF(AND(ABS(ROUND(N66,2))&gt;=0.5,ABS(O66)&gt;=0.05),"Yes","No")</x:f>
      </x:c>
      <x:c r="AA66" t="inlineStr">
        <x:is>
          <x:t xml:space="preserve">Closed actual</x:t>
        </x:is>
      </x:c>
      <x:c r="AB66" t="inlineStr">
        <x:is>
          <x:t xml:space="preserve"/>
        </x:is>
      </x:c>
      <x:c r="AC66" t="inlineStr">
        <x:is>
          <x:t xml:space="preserve"/>
        </x:is>
      </x:c>
      <x:c r="AD66" t="inlineStr">
        <x:is>
          <x:t xml:space="preserve">Synthetic - CIE training only</x:t>
        </x:is>
      </x:c>
    </x:row>
    <x:row r="67">
      <x:c r="A67" t="inlineStr">
        <x:is>
          <x:t xml:space="preserve">FIN-0062</x:t>
        </x:is>
      </x:c>
      <x:c r="B67" t="inlineStr">
        <x:is>
          <x:t xml:space="preserve">P08 Aug-2026</x:t>
        </x:is>
      </x:c>
      <x:c r="C67" s="10" t="n">
        <x:v>46265</x:v>
      </x:c>
      <x:c r="D67" t="inlineStr">
        <x:is>
          <x:t xml:space="preserve">Region Atlas</x:t>
        </x:is>
      </x:c>
      <x:c r="E67" t="inlineStr">
        <x:is>
          <x:t xml:space="preserve">Northmere</x:t>
        </x:is>
      </x:c>
      <x:c r="F67" t="inlineStr">
        <x:is>
          <x:t xml:space="preserve">Finance</x:t>
        </x:is>
      </x:c>
      <x:c r="G67" t="inlineStr">
        <x:is>
          <x:t xml:space="preserve">NM-FIN-600</x:t>
        </x:is>
      </x:c>
      <x:c r="H67" t="inlineStr">
        <x:is>
          <x:t xml:space="preserve">General &amp; Admin Cost</x:t>
        </x:is>
      </x:c>
      <x:c r="I67" t="inlineStr">
        <x:is>
          <x:t xml:space="preserve">Cost</x:t>
        </x:is>
      </x:c>
      <x:c r="J67" s="11" t="n">
        <x:v>2.66</x:v>
      </x:c>
      <x:c r="K67" s="11" t="n">
        <x:v>2.71</x:v>
      </x:c>
      <x:c r="L67" s="11" t="n">
        <x:v>2.66</x:v>
      </x:c>
      <x:c r="M67" s="11" t="n">
        <x:v>2.62</x:v>
      </x:c>
      <x:c r="N67" s="11">
        <x:f>J67-K67</x:f>
      </x:c>
      <x:c r="O67" s="12">
        <x:f>IF(K67=0,0,N67/K67)</x:f>
      </x:c>
      <x:c r="P67" s="11">
        <x:f>J67-L67</x:f>
      </x:c>
      <x:c r="Q67" s="12">
        <x:f>IF(L67=0,0,P67/L67)</x:f>
      </x:c>
      <x:c r="R67" s="11">
        <x:f>J67-M67</x:f>
      </x:c>
      <x:c r="S67" s="11">
        <x:f>IF(I67="Revenue",N67,-N67)</x:f>
      </x:c>
      <x:c r="T67">
        <x:f>IF(S67&gt;=0,"Favourable","Unfavourable")</x:f>
      </x:c>
      <x:c r="U67" s="11" t="n">
        <x:v>-0.01</x:v>
      </x:c>
      <x:c r="V67" s="11" t="n">
        <x:v>-0.02</x:v>
      </x:c>
      <x:c r="W67" s="11" t="n">
        <x:v>-0.01</x:v>
      </x:c>
      <x:c r="X67" s="11" t="n">
        <x:v>-0.01</x:v>
      </x:c>
      <x:c r="Y67" s="11">
        <x:f>ROUND(U67+V67+W67+X67-N67,2)</x:f>
      </x:c>
      <x:c r="Z67">
        <x:f>IF(AND(ABS(ROUND(N67,2))&gt;=0.5,ABS(O67)&gt;=0.05),"Yes","No")</x:f>
      </x:c>
      <x:c r="AA67" t="inlineStr">
        <x:is>
          <x:t xml:space="preserve">Closed actual</x:t>
        </x:is>
      </x:c>
      <x:c r="AB67" t="inlineStr">
        <x:is>
          <x:t xml:space="preserve"/>
        </x:is>
      </x:c>
      <x:c r="AC67" t="inlineStr">
        <x:is>
          <x:t xml:space="preserve"/>
        </x:is>
      </x:c>
      <x:c r="AD67" t="inlineStr">
        <x:is>
          <x:t xml:space="preserve">Synthetic - CIE training only</x:t>
        </x:is>
      </x:c>
    </x:row>
    <x:row r="68">
      <x:c r="A68" t="inlineStr">
        <x:is>
          <x:t xml:space="preserve">FIN-0063</x:t>
        </x:is>
      </x:c>
      <x:c r="B68" t="inlineStr">
        <x:is>
          <x:t xml:space="preserve">P08 Aug-2026</x:t>
        </x:is>
      </x:c>
      <x:c r="C68" s="10" t="n">
        <x:v>46265</x:v>
      </x:c>
      <x:c r="D68" t="inlineStr">
        <x:is>
          <x:t xml:space="preserve">Region Atlas</x:t>
        </x:is>
      </x:c>
      <x:c r="E68" t="inlineStr">
        <x:is>
          <x:t xml:space="preserve">Northmere</x:t>
        </x:is>
      </x:c>
      <x:c r="F68" t="inlineStr">
        <x:is>
          <x:t xml:space="preserve">Operations</x:t>
        </x:is>
      </x:c>
      <x:c r="G68" t="inlineStr">
        <x:is>
          <x:t xml:space="preserve">NM-OPS-210</x:t>
        </x:is>
      </x:c>
      <x:c r="H68" t="inlineStr">
        <x:is>
          <x:t xml:space="preserve">Facilities Cost</x:t>
        </x:is>
      </x:c>
      <x:c r="I68" t="inlineStr">
        <x:is>
          <x:t xml:space="preserve">Cost</x:t>
        </x:is>
      </x:c>
      <x:c r="J68" s="11" t="n">
        <x:v>1.58</x:v>
      </x:c>
      <x:c r="K68" s="11" t="n">
        <x:v>1.59</x:v>
      </x:c>
      <x:c r="L68" s="11" t="n">
        <x:v>1.52</x:v>
      </x:c>
      <x:c r="M68" s="11" t="n">
        <x:v>1.57</x:v>
      </x:c>
      <x:c r="N68" s="11">
        <x:f>J68-K68</x:f>
      </x:c>
      <x:c r="O68" s="12">
        <x:f>IF(K68=0,0,N68/K68)</x:f>
      </x:c>
      <x:c r="P68" s="11">
        <x:f>J68-L68</x:f>
      </x:c>
      <x:c r="Q68" s="12">
        <x:f>IF(L68=0,0,P68/L68)</x:f>
      </x:c>
      <x:c r="R68" s="11">
        <x:f>J68-M68</x:f>
      </x:c>
      <x:c r="S68" s="11">
        <x:f>IF(I68="Revenue",N68,-N68)</x:f>
      </x:c>
      <x:c r="T68">
        <x:f>IF(S68&gt;=0,"Favourable","Unfavourable")</x:f>
      </x:c>
      <x:c r="U68" s="11" t="n">
        <x:v>-0.02</x:v>
      </x:c>
      <x:c r="V68" s="11" t="n">
        <x:v>0.01</x:v>
      </x:c>
      <x:c r="W68" s="11" t="n">
        <x:v>0</x:v>
      </x:c>
      <x:c r="X68" s="11" t="n">
        <x:v>0</x:v>
      </x:c>
      <x:c r="Y68" s="11">
        <x:f>ROUND(U68+V68+W68+X68-N68,2)</x:f>
      </x:c>
      <x:c r="Z68">
        <x:f>IF(AND(ABS(ROUND(N68,2))&gt;=0.5,ABS(O68)&gt;=0.05),"Yes","No")</x:f>
      </x:c>
      <x:c r="AA68" t="inlineStr">
        <x:is>
          <x:t xml:space="preserve">Closed actual</x:t>
        </x:is>
      </x:c>
      <x:c r="AB68" t="inlineStr">
        <x:is>
          <x:t xml:space="preserve"/>
        </x:is>
      </x:c>
      <x:c r="AC68" t="inlineStr">
        <x:is>
          <x:t xml:space="preserve"/>
        </x:is>
      </x:c>
      <x:c r="AD68" t="inlineStr">
        <x:is>
          <x:t xml:space="preserve">Synthetic - CIE training only</x:t>
        </x:is>
      </x:c>
    </x:row>
    <x:row r="69">
      <x:c r="A69" t="inlineStr">
        <x:is>
          <x:t xml:space="preserve">FIN-0064</x:t>
        </x:is>
      </x:c>
      <x:c r="B69" t="inlineStr">
        <x:is>
          <x:t xml:space="preserve">P08 Aug-2026</x:t>
        </x:is>
      </x:c>
      <x:c r="C69" s="10" t="n">
        <x:v>46265</x:v>
      </x:c>
      <x:c r="D69" t="inlineStr">
        <x:is>
          <x:t xml:space="preserve">Region Atlas</x:t>
        </x:is>
      </x:c>
      <x:c r="E69" t="inlineStr">
        <x:is>
          <x:t xml:space="preserve">Eastvale</x:t>
        </x:is>
      </x:c>
      <x:c r="F69" t="inlineStr">
        <x:is>
          <x:t xml:space="preserve">Commercial</x:t>
        </x:is>
      </x:c>
      <x:c r="G69" t="inlineStr">
        <x:is>
          <x:t xml:space="preserve">EV-COM-100</x:t>
        </x:is>
      </x:c>
      <x:c r="H69" t="inlineStr">
        <x:is>
          <x:t xml:space="preserve">Net Revenue</x:t>
        </x:is>
      </x:c>
      <x:c r="I69" t="inlineStr">
        <x:is>
          <x:t xml:space="preserve">Revenue</x:t>
        </x:is>
      </x:c>
      <x:c r="J69" s="11" t="n">
        <x:v>54.8</x:v>
      </x:c>
      <x:c r="K69" s="11" t="n">
        <x:v>61.4</x:v>
      </x:c>
      <x:c r="L69" s="11" t="n">
        <x:v>59.99</x:v>
      </x:c>
      <x:c r="M69" s="11" t="n">
        <x:v>60.83</x:v>
      </x:c>
      <x:c r="N69" s="11">
        <x:f>J69-K69</x:f>
      </x:c>
      <x:c r="O69" s="12">
        <x:f>IF(K69=0,0,N69/K69)</x:f>
      </x:c>
      <x:c r="P69" s="11">
        <x:f>J69-L69</x:f>
      </x:c>
      <x:c r="Q69" s="12">
        <x:f>IF(L69=0,0,P69/L69)</x:f>
      </x:c>
      <x:c r="R69" s="11">
        <x:f>J69-M69</x:f>
      </x:c>
      <x:c r="S69" s="11">
        <x:f>IF(I69="Revenue",N69,-N69)</x:f>
      </x:c>
      <x:c r="T69">
        <x:f>IF(S69&gt;=0,"Favourable","Unfavourable")</x:f>
      </x:c>
      <x:c r="U69" s="11" t="n">
        <x:v>-5.52</x:v>
      </x:c>
      <x:c r="V69" s="11" t="n">
        <x:v>-0.74</x:v>
      </x:c>
      <x:c r="W69" s="11" t="n">
        <x:v>-0.27</x:v>
      </x:c>
      <x:c r="X69" s="11" t="n">
        <x:v>-0.07000000000000001</x:v>
      </x:c>
      <x:c r="Y69" s="11">
        <x:f>ROUND(U69+V69+W69+X69-N69,2)</x:f>
      </x:c>
      <x:c r="Z69">
        <x:f>IF(AND(ABS(ROUND(N69,2))&gt;=0.5,ABS(O69)&gt;=0.05),"Yes","No")</x:f>
      </x:c>
      <x:c r="AA69" t="inlineStr">
        <x:is>
          <x:t xml:space="preserve">Closed actual</x:t>
        </x:is>
      </x:c>
      <x:c r="AB69" t="inlineStr">
        <x:is>
          <x:t xml:space="preserve">Volume shortfall vs plan in two key channels (fictional); recovery not yet evidenced</x:t>
        </x:is>
      </x:c>
      <x:c r="AC69" t="inlineStr">
        <x:is>
          <x:t xml:space="preserve"/>
        </x:is>
      </x:c>
      <x:c r="AD69" t="inlineStr">
        <x:is>
          <x:t xml:space="preserve">Synthetic - CIE training only</x:t>
        </x:is>
      </x:c>
    </x:row>
    <x:row r="70">
      <x:c r="A70" t="inlineStr">
        <x:is>
          <x:t xml:space="preserve">FIN-0065</x:t>
        </x:is>
      </x:c>
      <x:c r="B70" t="inlineStr">
        <x:is>
          <x:t xml:space="preserve">P08 Aug-2026</x:t>
        </x:is>
      </x:c>
      <x:c r="C70" s="10" t="n">
        <x:v>46265</x:v>
      </x:c>
      <x:c r="D70" t="inlineStr">
        <x:is>
          <x:t xml:space="preserve">Region Atlas</x:t>
        </x:is>
      </x:c>
      <x:c r="E70" t="inlineStr">
        <x:is>
          <x:t xml:space="preserve">Eastvale</x:t>
        </x:is>
      </x:c>
      <x:c r="F70" t="inlineStr">
        <x:is>
          <x:t xml:space="preserve">Finance</x:t>
        </x:is>
      </x:c>
      <x:c r="G70" t="inlineStr">
        <x:is>
          <x:t xml:space="preserve">EV-FIN-900</x:t>
        </x:is>
      </x:c>
      <x:c r="H70" t="inlineStr">
        <x:is>
          <x:t xml:space="preserve">Other Operating Income</x:t>
        </x:is>
      </x:c>
      <x:c r="I70" t="inlineStr">
        <x:is>
          <x:t xml:space="preserve">Revenue</x:t>
        </x:is>
      </x:c>
      <x:c r="J70" s="11" t="n">
        <x:v>1.47</x:v>
      </x:c>
      <x:c r="K70" s="11" t="n">
        <x:v>1.48</x:v>
      </x:c>
      <x:c r="L70" s="11" t="n">
        <x:v>1.42</x:v>
      </x:c>
      <x:c r="M70" s="11" t="n">
        <x:v>1.47</x:v>
      </x:c>
      <x:c r="N70" s="11">
        <x:f>J70-K70</x:f>
      </x:c>
      <x:c r="O70" s="12">
        <x:f>IF(K70=0,0,N70/K70)</x:f>
      </x:c>
      <x:c r="P70" s="11">
        <x:f>J70-L70</x:f>
      </x:c>
      <x:c r="Q70" s="12">
        <x:f>IF(L70=0,0,P70/L70)</x:f>
      </x:c>
      <x:c r="R70" s="11">
        <x:f>J70-M70</x:f>
      </x:c>
      <x:c r="S70" s="11">
        <x:f>IF(I70="Revenue",N70,-N70)</x:f>
      </x:c>
      <x:c r="T70">
        <x:f>IF(S70&gt;=0,"Favourable","Unfavourable")</x:f>
      </x:c>
      <x:c r="U70" s="11" t="n">
        <x:v>-0.01</x:v>
      </x:c>
      <x:c r="V70" s="11" t="n">
        <x:v>0</x:v>
      </x:c>
      <x:c r="W70" s="11" t="n">
        <x:v>0</x:v>
      </x:c>
      <x:c r="X70" s="11" t="n">
        <x:v>0</x:v>
      </x:c>
      <x:c r="Y70" s="11">
        <x:f>ROUND(U70+V70+W70+X70-N70,2)</x:f>
      </x:c>
      <x:c r="Z70">
        <x:f>IF(AND(ABS(ROUND(N70,2))&gt;=0.5,ABS(O70)&gt;=0.05),"Yes","No")</x:f>
      </x:c>
      <x:c r="AA70" t="inlineStr">
        <x:is>
          <x:t xml:space="preserve">Closed actual</x:t>
        </x:is>
      </x:c>
      <x:c r="AB70" t="inlineStr">
        <x:is>
          <x:t xml:space="preserve"/>
        </x:is>
      </x:c>
      <x:c r="AC70" t="inlineStr">
        <x:is>
          <x:t xml:space="preserve"/>
        </x:is>
      </x:c>
      <x:c r="AD70" t="inlineStr">
        <x:is>
          <x:t xml:space="preserve">Synthetic - CIE training only</x:t>
        </x:is>
      </x:c>
    </x:row>
    <x:row r="71">
      <x:c r="A71" t="inlineStr">
        <x:is>
          <x:t xml:space="preserve">FIN-0066</x:t>
        </x:is>
      </x:c>
      <x:c r="B71" t="inlineStr">
        <x:is>
          <x:t xml:space="preserve">P08 Aug-2026</x:t>
        </x:is>
      </x:c>
      <x:c r="C71" s="10" t="n">
        <x:v>46265</x:v>
      </x:c>
      <x:c r="D71" t="inlineStr">
        <x:is>
          <x:t xml:space="preserve">Region Atlas</x:t>
        </x:is>
      </x:c>
      <x:c r="E71" t="inlineStr">
        <x:is>
          <x:t xml:space="preserve">Eastvale</x:t>
        </x:is>
      </x:c>
      <x:c r="F71" t="inlineStr">
        <x:is>
          <x:t xml:space="preserve">Operations</x:t>
        </x:is>
      </x:c>
      <x:c r="G71" t="inlineStr">
        <x:is>
          <x:t xml:space="preserve">EV-OPS-200</x:t>
        </x:is>
      </x:c>
      <x:c r="H71" t="inlineStr">
        <x:is>
          <x:t xml:space="preserve">Cost of Goods Sold</x:t>
        </x:is>
      </x:c>
      <x:c r="I71" t="inlineStr">
        <x:is>
          <x:t xml:space="preserve">Cost</x:t>
        </x:is>
      </x:c>
      <x:c r="J71" s="11" t="n">
        <x:v>19.91</x:v>
      </x:c>
      <x:c r="K71" s="11" t="n">
        <x:v>21.55</x:v>
      </x:c>
      <x:c r="L71" s="11" t="n">
        <x:v>20.73</x:v>
      </x:c>
      <x:c r="M71" s="11" t="n">
        <x:v>20.24</x:v>
      </x:c>
      <x:c r="N71" s="11">
        <x:f>J71-K71</x:f>
      </x:c>
      <x:c r="O71" s="12">
        <x:f>IF(K71=0,0,N71/K71)</x:f>
      </x:c>
      <x:c r="P71" s="11">
        <x:f>J71-L71</x:f>
      </x:c>
      <x:c r="Q71" s="12">
        <x:f>IF(L71=0,0,P71/L71)</x:f>
      </x:c>
      <x:c r="R71" s="11">
        <x:f>J71-M71</x:f>
      </x:c>
      <x:c r="S71" s="11">
        <x:f>IF(I71="Revenue",N71,-N71)</x:f>
      </x:c>
      <x:c r="T71">
        <x:f>IF(S71&gt;=0,"Favourable","Unfavourable")</x:f>
      </x:c>
      <x:c r="U71" s="11" t="n">
        <x:v>-1.59</x:v>
      </x:c>
      <x:c r="V71" s="11" t="n">
        <x:v>-0.06</x:v>
      </x:c>
      <x:c r="W71" s="11" t="n">
        <x:v>-0.03</x:v>
      </x:c>
      <x:c r="X71" s="11" t="n">
        <x:v>0.04</x:v>
      </x:c>
      <x:c r="Y71" s="11">
        <x:f>ROUND(U71+V71+W71+X71-N71,2)</x:f>
      </x:c>
      <x:c r="Z71">
        <x:f>IF(AND(ABS(ROUND(N71,2))&gt;=0.5,ABS(O71)&gt;=0.05),"Yes","No")</x:f>
      </x:c>
      <x:c r="AA71" t="inlineStr">
        <x:is>
          <x:t xml:space="preserve">Closed actual</x:t>
        </x:is>
      </x:c>
      <x:c r="AB71" t="inlineStr">
        <x:is>
          <x:t xml:space="preserve"/>
        </x:is>
      </x:c>
      <x:c r="AC71" t="inlineStr">
        <x:is>
          <x:t xml:space="preserve">Lower COGS follows lower volume - not an efficiency saving</x:t>
        </x:is>
      </x:c>
      <x:c r="AD71" t="inlineStr">
        <x:is>
          <x:t xml:space="preserve">Synthetic - CIE training only</x:t>
        </x:is>
      </x:c>
    </x:row>
    <x:row r="72">
      <x:c r="A72" t="inlineStr">
        <x:is>
          <x:t xml:space="preserve">FIN-0067</x:t>
        </x:is>
      </x:c>
      <x:c r="B72" t="inlineStr">
        <x:is>
          <x:t xml:space="preserve">P08 Aug-2026</x:t>
        </x:is>
      </x:c>
      <x:c r="C72" s="10" t="n">
        <x:v>46265</x:v>
      </x:c>
      <x:c r="D72" t="inlineStr">
        <x:is>
          <x:t xml:space="preserve">Region Atlas</x:t>
        </x:is>
      </x:c>
      <x:c r="E72" t="inlineStr">
        <x:is>
          <x:t xml:space="preserve">Eastvale</x:t>
        </x:is>
      </x:c>
      <x:c r="F72" t="inlineStr">
        <x:is>
          <x:t xml:space="preserve">Supply Chain</x:t>
        </x:is>
      </x:c>
      <x:c r="G72" t="inlineStr">
        <x:is>
          <x:t xml:space="preserve">EV-SCM-300</x:t>
        </x:is>
      </x:c>
      <x:c r="H72" t="inlineStr">
        <x:is>
          <x:t xml:space="preserve">Logistics &amp; Distribution</x:t>
        </x:is>
      </x:c>
      <x:c r="I72" t="inlineStr">
        <x:is>
          <x:t xml:space="preserve">Cost</x:t>
        </x:is>
      </x:c>
      <x:c r="J72" s="11" t="n">
        <x:v>4.73</x:v>
      </x:c>
      <x:c r="K72" s="11" t="n">
        <x:v>4.66</x:v>
      </x:c>
      <x:c r="L72" s="11" t="n">
        <x:v>4.6</x:v>
      </x:c>
      <x:c r="M72" s="11" t="n">
        <x:v>4.76</x:v>
      </x:c>
      <x:c r="N72" s="11">
        <x:f>J72-K72</x:f>
      </x:c>
      <x:c r="O72" s="12">
        <x:f>IF(K72=0,0,N72/K72)</x:f>
      </x:c>
      <x:c r="P72" s="11">
        <x:f>J72-L72</x:f>
      </x:c>
      <x:c r="Q72" s="12">
        <x:f>IF(L72=0,0,P72/L72)</x:f>
      </x:c>
      <x:c r="R72" s="11">
        <x:f>J72-M72</x:f>
      </x:c>
      <x:c r="S72" s="11">
        <x:f>IF(I72="Revenue",N72,-N72)</x:f>
      </x:c>
      <x:c r="T72">
        <x:f>IF(S72&gt;=0,"Favourable","Unfavourable")</x:f>
      </x:c>
      <x:c r="U72" s="11" t="n">
        <x:v>0.11</x:v>
      </x:c>
      <x:c r="V72" s="11" t="n">
        <x:v>-0.04</x:v>
      </x:c>
      <x:c r="W72" s="11" t="n">
        <x:v>-0.01</x:v>
      </x:c>
      <x:c r="X72" s="11" t="n">
        <x:v>0.01</x:v>
      </x:c>
      <x:c r="Y72" s="11">
        <x:f>ROUND(U72+V72+W72+X72-N72,2)</x:f>
      </x:c>
      <x:c r="Z72">
        <x:f>IF(AND(ABS(ROUND(N72,2))&gt;=0.5,ABS(O72)&gt;=0.05),"Yes","No")</x:f>
      </x:c>
      <x:c r="AA72" t="inlineStr">
        <x:is>
          <x:t xml:space="preserve">Closed actual</x:t>
        </x:is>
      </x:c>
      <x:c r="AB72" t="inlineStr">
        <x:is>
          <x:t xml:space="preserve"/>
        </x:is>
      </x:c>
      <x:c r="AC72" t="inlineStr">
        <x:is>
          <x:t xml:space="preserve"/>
        </x:is>
      </x:c>
      <x:c r="AD72" t="inlineStr">
        <x:is>
          <x:t xml:space="preserve">Synthetic - CIE training only</x:t>
        </x:is>
      </x:c>
    </x:row>
    <x:row r="73">
      <x:c r="A73" t="inlineStr">
        <x:is>
          <x:t xml:space="preserve">FIN-0068</x:t>
        </x:is>
      </x:c>
      <x:c r="B73" t="inlineStr">
        <x:is>
          <x:t xml:space="preserve">P08 Aug-2026</x:t>
        </x:is>
      </x:c>
      <x:c r="C73" s="10" t="n">
        <x:v>46265</x:v>
      </x:c>
      <x:c r="D73" t="inlineStr">
        <x:is>
          <x:t xml:space="preserve">Region Atlas</x:t>
        </x:is>
      </x:c>
      <x:c r="E73" t="inlineStr">
        <x:is>
          <x:t xml:space="preserve">Eastvale</x:t>
        </x:is>
      </x:c>
      <x:c r="F73" t="inlineStr">
        <x:is>
          <x:t xml:space="preserve">Marketing</x:t>
        </x:is>
      </x:c>
      <x:c r="G73" t="inlineStr">
        <x:is>
          <x:t xml:space="preserve">EV-MKT-400</x:t>
        </x:is>
      </x:c>
      <x:c r="H73" t="inlineStr">
        <x:is>
          <x:t xml:space="preserve">Trade Marketing Investment</x:t>
        </x:is>
      </x:c>
      <x:c r="I73" t="inlineStr">
        <x:is>
          <x:t xml:space="preserve">Cost</x:t>
        </x:is>
      </x:c>
      <x:c r="J73" s="11" t="n">
        <x:v>6.02</x:v>
      </x:c>
      <x:c r="K73" s="11" t="n">
        <x:v>6.14</x:v>
      </x:c>
      <x:c r="L73" s="11" t="n">
        <x:v>5.77</x:v>
      </x:c>
      <x:c r="M73" s="11" t="n">
        <x:v>6.1</x:v>
      </x:c>
      <x:c r="N73" s="11">
        <x:f>J73-K73</x:f>
      </x:c>
      <x:c r="O73" s="12">
        <x:f>IF(K73=0,0,N73/K73)</x:f>
      </x:c>
      <x:c r="P73" s="11">
        <x:f>J73-L73</x:f>
      </x:c>
      <x:c r="Q73" s="12">
        <x:f>IF(L73=0,0,P73/L73)</x:f>
      </x:c>
      <x:c r="R73" s="11">
        <x:f>J73-M73</x:f>
      </x:c>
      <x:c r="S73" s="11">
        <x:f>IF(I73="Revenue",N73,-N73)</x:f>
      </x:c>
      <x:c r="T73">
        <x:f>IF(S73&gt;=0,"Favourable","Unfavourable")</x:f>
      </x:c>
      <x:c r="U73" s="11" t="n">
        <x:v>-0.12</x:v>
      </x:c>
      <x:c r="V73" s="11" t="n">
        <x:v>0</x:v>
      </x:c>
      <x:c r="W73" s="11" t="n">
        <x:v>-0.02</x:v>
      </x:c>
      <x:c r="X73" s="11" t="n">
        <x:v>0.02</x:v>
      </x:c>
      <x:c r="Y73" s="11">
        <x:f>ROUND(U73+V73+W73+X73-N73,2)</x:f>
      </x:c>
      <x:c r="Z73">
        <x:f>IF(AND(ABS(ROUND(N73,2))&gt;=0.5,ABS(O73)&gt;=0.05),"Yes","No")</x:f>
      </x:c>
      <x:c r="AA73" t="inlineStr">
        <x:is>
          <x:t xml:space="preserve">Closed actual</x:t>
        </x:is>
      </x:c>
      <x:c r="AB73" t="inlineStr">
        <x:is>
          <x:t xml:space="preserve"/>
        </x:is>
      </x:c>
      <x:c r="AC73" t="inlineStr">
        <x:is>
          <x:t xml:space="preserve"/>
        </x:is>
      </x:c>
      <x:c r="AD73" t="inlineStr">
        <x:is>
          <x:t xml:space="preserve">Synthetic - CIE training only</x:t>
        </x:is>
      </x:c>
    </x:row>
    <x:row r="74">
      <x:c r="A74" t="inlineStr">
        <x:is>
          <x:t xml:space="preserve">FIN-0069</x:t>
        </x:is>
      </x:c>
      <x:c r="B74" t="inlineStr">
        <x:is>
          <x:t xml:space="preserve">P08 Aug-2026</x:t>
        </x:is>
      </x:c>
      <x:c r="C74" s="10" t="n">
        <x:v>46265</x:v>
      </x:c>
      <x:c r="D74" t="inlineStr">
        <x:is>
          <x:t xml:space="preserve">Region Atlas</x:t>
        </x:is>
      </x:c>
      <x:c r="E74" t="inlineStr">
        <x:is>
          <x:t xml:space="preserve">Eastvale</x:t>
        </x:is>
      </x:c>
      <x:c r="F74" t="inlineStr">
        <x:is>
          <x:t xml:space="preserve">Commercial</x:t>
        </x:is>
      </x:c>
      <x:c r="G74" t="inlineStr">
        <x:is>
          <x:t xml:space="preserve">EV-COM-110</x:t>
        </x:is>
      </x:c>
      <x:c r="H74" t="inlineStr">
        <x:is>
          <x:t xml:space="preserve">Sales Force Cost</x:t>
        </x:is>
      </x:c>
      <x:c r="I74" t="inlineStr">
        <x:is>
          <x:t xml:space="preserve">Cost</x:t>
        </x:is>
      </x:c>
      <x:c r="J74" s="11" t="n">
        <x:v>3.56</x:v>
      </x:c>
      <x:c r="K74" s="11" t="n">
        <x:v>3.52</x:v>
      </x:c>
      <x:c r="L74" s="11" t="n">
        <x:v>3.39</x:v>
      </x:c>
      <x:c r="M74" s="11" t="n">
        <x:v>3.48</x:v>
      </x:c>
      <x:c r="N74" s="11">
        <x:f>J74-K74</x:f>
      </x:c>
      <x:c r="O74" s="12">
        <x:f>IF(K74=0,0,N74/K74)</x:f>
      </x:c>
      <x:c r="P74" s="11">
        <x:f>J74-L74</x:f>
      </x:c>
      <x:c r="Q74" s="12">
        <x:f>IF(L74=0,0,P74/L74)</x:f>
      </x:c>
      <x:c r="R74" s="11">
        <x:f>J74-M74</x:f>
      </x:c>
      <x:c r="S74" s="11">
        <x:f>IF(I74="Revenue",N74,-N74)</x:f>
      </x:c>
      <x:c r="T74">
        <x:f>IF(S74&gt;=0,"Favourable","Unfavourable")</x:f>
      </x:c>
      <x:c r="U74" s="11" t="n">
        <x:v>0</x:v>
      </x:c>
      <x:c r="V74" s="11" t="n">
        <x:v>0.02</x:v>
      </x:c>
      <x:c r="W74" s="11" t="n">
        <x:v>0.04</x:v>
      </x:c>
      <x:c r="X74" s="11" t="n">
        <x:v>-0.02</x:v>
      </x:c>
      <x:c r="Y74" s="11">
        <x:f>ROUND(U74+V74+W74+X74-N74,2)</x:f>
      </x:c>
      <x:c r="Z74">
        <x:f>IF(AND(ABS(ROUND(N74,2))&gt;=0.5,ABS(O74)&gt;=0.05),"Yes","No")</x:f>
      </x:c>
      <x:c r="AA74" t="inlineStr">
        <x:is>
          <x:t xml:space="preserve">Closed actual</x:t>
        </x:is>
      </x:c>
      <x:c r="AB74" t="inlineStr">
        <x:is>
          <x:t xml:space="preserve"/>
        </x:is>
      </x:c>
      <x:c r="AC74" t="inlineStr">
        <x:is>
          <x:t xml:space="preserve"/>
        </x:is>
      </x:c>
      <x:c r="AD74" t="inlineStr">
        <x:is>
          <x:t xml:space="preserve">Synthetic - CIE training only</x:t>
        </x:is>
      </x:c>
    </x:row>
    <x:row r="75">
      <x:c r="A75" t="inlineStr">
        <x:is>
          <x:t xml:space="preserve">FIN-0070</x:t>
        </x:is>
      </x:c>
      <x:c r="B75" t="inlineStr">
        <x:is>
          <x:t xml:space="preserve">P08 Aug-2026</x:t>
        </x:is>
      </x:c>
      <x:c r="C75" s="10" t="n">
        <x:v>46265</x:v>
      </x:c>
      <x:c r="D75" t="inlineStr">
        <x:is>
          <x:t xml:space="preserve">Region Atlas</x:t>
        </x:is>
      </x:c>
      <x:c r="E75" t="inlineStr">
        <x:is>
          <x:t xml:space="preserve">Eastvale</x:t>
        </x:is>
      </x:c>
      <x:c r="F75" t="inlineStr">
        <x:is>
          <x:t xml:space="preserve">Digital &amp; IT</x:t>
        </x:is>
      </x:c>
      <x:c r="G75" t="inlineStr">
        <x:is>
          <x:t xml:space="preserve">EV-DIT-500</x:t>
        </x:is>
      </x:c>
      <x:c r="H75" t="inlineStr">
        <x:is>
          <x:t xml:space="preserve">Digital &amp; IT Cost</x:t>
        </x:is>
      </x:c>
      <x:c r="I75" t="inlineStr">
        <x:is>
          <x:t xml:space="preserve">Cost</x:t>
        </x:is>
      </x:c>
      <x:c r="J75" s="11" t="n">
        <x:v>2.42</x:v>
      </x:c>
      <x:c r="K75" s="11" t="n">
        <x:v>2.43</x:v>
      </x:c>
      <x:c r="L75" s="11" t="n">
        <x:v>2.32</x:v>
      </x:c>
      <x:c r="M75" s="11" t="n">
        <x:v>2.43</x:v>
      </x:c>
      <x:c r="N75" s="11">
        <x:f>J75-K75</x:f>
      </x:c>
      <x:c r="O75" s="12">
        <x:f>IF(K75=0,0,N75/K75)</x:f>
      </x:c>
      <x:c r="P75" s="11">
        <x:f>J75-L75</x:f>
      </x:c>
      <x:c r="Q75" s="12">
        <x:f>IF(L75=0,0,P75/L75)</x:f>
      </x:c>
      <x:c r="R75" s="11">
        <x:f>J75-M75</x:f>
      </x:c>
      <x:c r="S75" s="11">
        <x:f>IF(I75="Revenue",N75,-N75)</x:f>
      </x:c>
      <x:c r="T75">
        <x:f>IF(S75&gt;=0,"Favourable","Unfavourable")</x:f>
      </x:c>
      <x:c r="U75" s="11" t="n">
        <x:v>0</x:v>
      </x:c>
      <x:c r="V75" s="11" t="n">
        <x:v>0</x:v>
      </x:c>
      <x:c r="W75" s="11" t="n">
        <x:v>-0.01</x:v>
      </x:c>
      <x:c r="X75" s="11" t="n">
        <x:v>0</x:v>
      </x:c>
      <x:c r="Y75" s="11">
        <x:f>ROUND(U75+V75+W75+X75-N75,2)</x:f>
      </x:c>
      <x:c r="Z75">
        <x:f>IF(AND(ABS(ROUND(N75,2))&gt;=0.5,ABS(O75)&gt;=0.05),"Yes","No")</x:f>
      </x:c>
      <x:c r="AA75" t="inlineStr">
        <x:is>
          <x:t xml:space="preserve">Closed actual</x:t>
        </x:is>
      </x:c>
      <x:c r="AB75" t="inlineStr">
        <x:is>
          <x:t xml:space="preserve"/>
        </x:is>
      </x:c>
      <x:c r="AC75" t="inlineStr">
        <x:is>
          <x:t xml:space="preserve"/>
        </x:is>
      </x:c>
      <x:c r="AD75" t="inlineStr">
        <x:is>
          <x:t xml:space="preserve">Synthetic - CIE training only</x:t>
        </x:is>
      </x:c>
    </x:row>
    <x:row r="76">
      <x:c r="A76" t="inlineStr">
        <x:is>
          <x:t xml:space="preserve">FIN-0071</x:t>
        </x:is>
      </x:c>
      <x:c r="B76" t="inlineStr">
        <x:is>
          <x:t xml:space="preserve">P08 Aug-2026</x:t>
        </x:is>
      </x:c>
      <x:c r="C76" s="10" t="n">
        <x:v>46265</x:v>
      </x:c>
      <x:c r="D76" t="inlineStr">
        <x:is>
          <x:t xml:space="preserve">Region Atlas</x:t>
        </x:is>
      </x:c>
      <x:c r="E76" t="inlineStr">
        <x:is>
          <x:t xml:space="preserve">Eastvale</x:t>
        </x:is>
      </x:c>
      <x:c r="F76" t="inlineStr">
        <x:is>
          <x:t xml:space="preserve">Finance</x:t>
        </x:is>
      </x:c>
      <x:c r="G76" t="inlineStr">
        <x:is>
          <x:t xml:space="preserve">EV-FIN-600</x:t>
        </x:is>
      </x:c>
      <x:c r="H76" t="inlineStr">
        <x:is>
          <x:t xml:space="preserve">General &amp; Admin Cost</x:t>
        </x:is>
      </x:c>
      <x:c r="I76" t="inlineStr">
        <x:is>
          <x:t xml:space="preserve">Cost</x:t>
        </x:is>
      </x:c>
      <x:c r="J76" s="11" t="n">
        <x:v>1.99</x:v>
      </x:c>
      <x:c r="K76" s="11" t="n">
        <x:v>2</x:v>
      </x:c>
      <x:c r="L76" s="11" t="n">
        <x:v>1.98</x:v>
      </x:c>
      <x:c r="M76" s="11" t="n">
        <x:v>1.96</x:v>
      </x:c>
      <x:c r="N76" s="11">
        <x:f>J76-K76</x:f>
      </x:c>
      <x:c r="O76" s="12">
        <x:f>IF(K76=0,0,N76/K76)</x:f>
      </x:c>
      <x:c r="P76" s="11">
        <x:f>J76-L76</x:f>
      </x:c>
      <x:c r="Q76" s="12">
        <x:f>IF(L76=0,0,P76/L76)</x:f>
      </x:c>
      <x:c r="R76" s="11">
        <x:f>J76-M76</x:f>
      </x:c>
      <x:c r="S76" s="11">
        <x:f>IF(I76="Revenue",N76,-N76)</x:f>
      </x:c>
      <x:c r="T76">
        <x:f>IF(S76&gt;=0,"Favourable","Unfavourable")</x:f>
      </x:c>
      <x:c r="U76" s="11" t="n">
        <x:v>0.01</x:v>
      </x:c>
      <x:c r="V76" s="11" t="n">
        <x:v>-0.03</x:v>
      </x:c>
      <x:c r="W76" s="11" t="n">
        <x:v>0.01</x:v>
      </x:c>
      <x:c r="X76" s="11" t="n">
        <x:v>0</x:v>
      </x:c>
      <x:c r="Y76" s="11">
        <x:f>ROUND(U76+V76+W76+X76-N76,2)</x:f>
      </x:c>
      <x:c r="Z76">
        <x:f>IF(AND(ABS(ROUND(N76,2))&gt;=0.5,ABS(O76)&gt;=0.05),"Yes","No")</x:f>
      </x:c>
      <x:c r="AA76" t="inlineStr">
        <x:is>
          <x:t xml:space="preserve">Closed actual</x:t>
        </x:is>
      </x:c>
      <x:c r="AB76" t="inlineStr">
        <x:is>
          <x:t xml:space="preserve"/>
        </x:is>
      </x:c>
      <x:c r="AC76" t="inlineStr">
        <x:is>
          <x:t xml:space="preserve"/>
        </x:is>
      </x:c>
      <x:c r="AD76" t="inlineStr">
        <x:is>
          <x:t xml:space="preserve">Synthetic - CIE training only</x:t>
        </x:is>
      </x:c>
    </x:row>
    <x:row r="77">
      <x:c r="A77" t="inlineStr">
        <x:is>
          <x:t xml:space="preserve">FIN-0072</x:t>
        </x:is>
      </x:c>
      <x:c r="B77" t="inlineStr">
        <x:is>
          <x:t xml:space="preserve">P08 Aug-2026</x:t>
        </x:is>
      </x:c>
      <x:c r="C77" s="10" t="n">
        <x:v>46265</x:v>
      </x:c>
      <x:c r="D77" t="inlineStr">
        <x:is>
          <x:t xml:space="preserve">Region Atlas</x:t>
        </x:is>
      </x:c>
      <x:c r="E77" t="inlineStr">
        <x:is>
          <x:t xml:space="preserve">Eastvale</x:t>
        </x:is>
      </x:c>
      <x:c r="F77" t="inlineStr">
        <x:is>
          <x:t xml:space="preserve">Operations</x:t>
        </x:is>
      </x:c>
      <x:c r="G77" t="inlineStr">
        <x:is>
          <x:t xml:space="preserve">EV-OPS-210</x:t>
        </x:is>
      </x:c>
      <x:c r="H77" t="inlineStr">
        <x:is>
          <x:t xml:space="preserve">Facilities Cost</x:t>
        </x:is>
      </x:c>
      <x:c r="I77" t="inlineStr">
        <x:is>
          <x:t xml:space="preserve">Cost</x:t>
        </x:is>
      </x:c>
      <x:c r="J77" s="11" t="n">
        <x:v>1.23</x:v>
      </x:c>
      <x:c r="K77" s="11" t="n">
        <x:v>1.22</x:v>
      </x:c>
      <x:c r="L77" s="11" t="n">
        <x:v>1.18</x:v>
      </x:c>
      <x:c r="M77" s="11" t="n">
        <x:v>1.22</x:v>
      </x:c>
      <x:c r="N77" s="11">
        <x:f>J77-K77</x:f>
      </x:c>
      <x:c r="O77" s="12">
        <x:f>IF(K77=0,0,N77/K77)</x:f>
      </x:c>
      <x:c r="P77" s="11">
        <x:f>J77-L77</x:f>
      </x:c>
      <x:c r="Q77" s="12">
        <x:f>IF(L77=0,0,P77/L77)</x:f>
      </x:c>
      <x:c r="R77" s="11">
        <x:f>J77-M77</x:f>
      </x:c>
      <x:c r="S77" s="11">
        <x:f>IF(I77="Revenue",N77,-N77)</x:f>
      </x:c>
      <x:c r="T77">
        <x:f>IF(S77&gt;=0,"Favourable","Unfavourable")</x:f>
      </x:c>
      <x:c r="U77" s="11" t="n">
        <x:v>0.02</x:v>
      </x:c>
      <x:c r="V77" s="11" t="n">
        <x:v>0</x:v>
      </x:c>
      <x:c r="W77" s="11" t="n">
        <x:v>-0.01</x:v>
      </x:c>
      <x:c r="X77" s="11" t="n">
        <x:v>0</x:v>
      </x:c>
      <x:c r="Y77" s="11">
        <x:f>ROUND(U77+V77+W77+X77-N77,2)</x:f>
      </x:c>
      <x:c r="Z77">
        <x:f>IF(AND(ABS(ROUND(N77,2))&gt;=0.5,ABS(O77)&gt;=0.05),"Yes","No")</x:f>
      </x:c>
      <x:c r="AA77" t="inlineStr">
        <x:is>
          <x:t xml:space="preserve">Closed actual</x:t>
        </x:is>
      </x:c>
      <x:c r="AB77" t="inlineStr">
        <x:is>
          <x:t xml:space="preserve"/>
        </x:is>
      </x:c>
      <x:c r="AC77" t="inlineStr">
        <x:is>
          <x:t xml:space="preserve"/>
        </x:is>
      </x:c>
      <x:c r="AD77" t="inlineStr">
        <x:is>
          <x:t xml:space="preserve">Synthetic - CIE training only</x:t>
        </x:is>
      </x:c>
    </x:row>
    <x:row r="78">
      <x:c r="A78" t="inlineStr">
        <x:is>
          <x:t xml:space="preserve">FIN-0073</x:t>
        </x:is>
      </x:c>
      <x:c r="B78" t="inlineStr">
        <x:is>
          <x:t xml:space="preserve">P08 Aug-2026</x:t>
        </x:is>
      </x:c>
      <x:c r="C78" s="10" t="n">
        <x:v>46265</x:v>
      </x:c>
      <x:c r="D78" t="inlineStr">
        <x:is>
          <x:t xml:space="preserve">Region Atlas</x:t>
        </x:is>
      </x:c>
      <x:c r="E78" t="inlineStr">
        <x:is>
          <x:t xml:space="preserve">Southport</x:t>
        </x:is>
      </x:c>
      <x:c r="F78" t="inlineStr">
        <x:is>
          <x:t xml:space="preserve">Commercial</x:t>
        </x:is>
      </x:c>
      <x:c r="G78" t="inlineStr">
        <x:is>
          <x:t xml:space="preserve">SP-COM-100</x:t>
        </x:is>
      </x:c>
      <x:c r="H78" t="inlineStr">
        <x:is>
          <x:t xml:space="preserve">Net Revenue</x:t>
        </x:is>
      </x:c>
      <x:c r="I78" t="inlineStr">
        <x:is>
          <x:t xml:space="preserve">Revenue</x:t>
        </x:is>
      </x:c>
      <x:c r="J78" s="11" t="n">
        <x:v>48.01</x:v>
      </x:c>
      <x:c r="K78" s="11" t="n">
        <x:v>52.37</x:v>
      </x:c>
      <x:c r="L78" s="11" t="n">
        <x:v>51.03</x:v>
      </x:c>
      <x:c r="M78" s="11" t="n">
        <x:v>48.09</x:v>
      </x:c>
      <x:c r="N78" s="11">
        <x:f>J78-K78</x:f>
      </x:c>
      <x:c r="O78" s="12">
        <x:f>IF(K78=0,0,N78/K78)</x:f>
      </x:c>
      <x:c r="P78" s="11">
        <x:f>J78-L78</x:f>
      </x:c>
      <x:c r="Q78" s="12">
        <x:f>IF(L78=0,0,P78/L78)</x:f>
      </x:c>
      <x:c r="R78" s="11">
        <x:f>J78-M78</x:f>
      </x:c>
      <x:c r="S78" s="11">
        <x:f>IF(I78="Revenue",N78,-N78)</x:f>
      </x:c>
      <x:c r="T78">
        <x:f>IF(S78&gt;=0,"Favourable","Unfavourable")</x:f>
      </x:c>
      <x:c r="U78" s="11" t="n">
        <x:v>0.72</x:v>
      </x:c>
      <x:c r="V78" s="11" t="n">
        <x:v>-0.84</x:v>
      </x:c>
      <x:c r="W78" s="11" t="n">
        <x:v>-4.02</x:v>
      </x:c>
      <x:c r="X78" s="11" t="n">
        <x:v>-0.22</x:v>
      </x:c>
      <x:c r="Y78" s="11">
        <x:f>ROUND(U78+V78+W78+X78-N78,2)</x:f>
      </x:c>
      <x:c r="Z78">
        <x:f>IF(AND(ABS(ROUND(N78,2))&gt;=0.5,ABS(O78)&gt;=0.05),"Yes","No")</x:f>
      </x:c>
      <x:c r="AA78" t="inlineStr">
        <x:is>
          <x:t xml:space="preserve">Closed actual</x:t>
        </x:is>
      </x:c>
      <x:c r="AB78" t="inlineStr">
        <x:is>
          <x:t xml:space="preserve">Local currency weaker than budget rate; Q4 rate basis to be confirmed by Treasury</x:t>
        </x:is>
      </x:c>
      <x:c r="AC78" t="inlineStr">
        <x:is>
          <x:t xml:space="preserve"/>
        </x:is>
      </x:c>
      <x:c r="AD78" t="inlineStr">
        <x:is>
          <x:t xml:space="preserve">Synthetic - CIE training only</x:t>
        </x:is>
      </x:c>
    </x:row>
    <x:row r="79">
      <x:c r="A79" t="inlineStr">
        <x:is>
          <x:t xml:space="preserve">FIN-0074</x:t>
        </x:is>
      </x:c>
      <x:c r="B79" t="inlineStr">
        <x:is>
          <x:t xml:space="preserve">P08 Aug-2026</x:t>
        </x:is>
      </x:c>
      <x:c r="C79" s="10" t="n">
        <x:v>46265</x:v>
      </x:c>
      <x:c r="D79" t="inlineStr">
        <x:is>
          <x:t xml:space="preserve">Region Atlas</x:t>
        </x:is>
      </x:c>
      <x:c r="E79" t="inlineStr">
        <x:is>
          <x:t xml:space="preserve">Southport</x:t>
        </x:is>
      </x:c>
      <x:c r="F79" t="inlineStr">
        <x:is>
          <x:t xml:space="preserve">Finance</x:t>
        </x:is>
      </x:c>
      <x:c r="G79" t="inlineStr">
        <x:is>
          <x:t xml:space="preserve">SP-FIN-900</x:t>
        </x:is>
      </x:c>
      <x:c r="H79" t="inlineStr">
        <x:is>
          <x:t xml:space="preserve">Other Operating Income</x:t>
        </x:is>
      </x:c>
      <x:c r="I79" t="inlineStr">
        <x:is>
          <x:t xml:space="preserve">Revenue</x:t>
        </x:is>
      </x:c>
      <x:c r="J79" s="11" t="n">
        <x:v>1.42</x:v>
      </x:c>
      <x:c r="K79" s="11" t="n">
        <x:v>1.4</x:v>
      </x:c>
      <x:c r="L79" s="11" t="n">
        <x:v>1.33</x:v>
      </x:c>
      <x:c r="M79" s="11" t="n">
        <x:v>1.41</x:v>
      </x:c>
      <x:c r="N79" s="11">
        <x:f>J79-K79</x:f>
      </x:c>
      <x:c r="O79" s="12">
        <x:f>IF(K79=0,0,N79/K79)</x:f>
      </x:c>
      <x:c r="P79" s="11">
        <x:f>J79-L79</x:f>
      </x:c>
      <x:c r="Q79" s="12">
        <x:f>IF(L79=0,0,P79/L79)</x:f>
      </x:c>
      <x:c r="R79" s="11">
        <x:f>J79-M79</x:f>
      </x:c>
      <x:c r="S79" s="11">
        <x:f>IF(I79="Revenue",N79,-N79)</x:f>
      </x:c>
      <x:c r="T79">
        <x:f>IF(S79&gt;=0,"Favourable","Unfavourable")</x:f>
      </x:c>
      <x:c r="U79" s="11" t="n">
        <x:v>0</x:v>
      </x:c>
      <x:c r="V79" s="11" t="n">
        <x:v>0.02</x:v>
      </x:c>
      <x:c r="W79" s="11" t="n">
        <x:v>0</x:v>
      </x:c>
      <x:c r="X79" s="11" t="n">
        <x:v>0</x:v>
      </x:c>
      <x:c r="Y79" s="11">
        <x:f>ROUND(U79+V79+W79+X79-N79,2)</x:f>
      </x:c>
      <x:c r="Z79">
        <x:f>IF(AND(ABS(ROUND(N79,2))&gt;=0.5,ABS(O79)&gt;=0.05),"Yes","No")</x:f>
      </x:c>
      <x:c r="AA79" t="inlineStr">
        <x:is>
          <x:t xml:space="preserve">Closed actual</x:t>
        </x:is>
      </x:c>
      <x:c r="AB79" t="inlineStr">
        <x:is>
          <x:t xml:space="preserve"/>
        </x:is>
      </x:c>
      <x:c r="AC79" t="inlineStr">
        <x:is>
          <x:t xml:space="preserve"/>
        </x:is>
      </x:c>
      <x:c r="AD79" t="inlineStr">
        <x:is>
          <x:t xml:space="preserve">Synthetic - CIE training only</x:t>
        </x:is>
      </x:c>
    </x:row>
    <x:row r="80">
      <x:c r="A80" t="inlineStr">
        <x:is>
          <x:t xml:space="preserve">FIN-0075</x:t>
        </x:is>
      </x:c>
      <x:c r="B80" t="inlineStr">
        <x:is>
          <x:t xml:space="preserve">P08 Aug-2026</x:t>
        </x:is>
      </x:c>
      <x:c r="C80" s="10" t="n">
        <x:v>46265</x:v>
      </x:c>
      <x:c r="D80" t="inlineStr">
        <x:is>
          <x:t xml:space="preserve">Region Atlas</x:t>
        </x:is>
      </x:c>
      <x:c r="E80" t="inlineStr">
        <x:is>
          <x:t xml:space="preserve">Southport</x:t>
        </x:is>
      </x:c>
      <x:c r="F80" t="inlineStr">
        <x:is>
          <x:t xml:space="preserve">Operations</x:t>
        </x:is>
      </x:c>
      <x:c r="G80" t="inlineStr">
        <x:is>
          <x:t xml:space="preserve">SP-OPS-200</x:t>
        </x:is>
      </x:c>
      <x:c r="H80" t="inlineStr">
        <x:is>
          <x:t xml:space="preserve">Cost of Goods Sold</x:t>
        </x:is>
      </x:c>
      <x:c r="I80" t="inlineStr">
        <x:is>
          <x:t xml:space="preserve">Cost</x:t>
        </x:is>
      </x:c>
      <x:c r="J80" s="11" t="n">
        <x:v>19.71</x:v>
      </x:c>
      <x:c r="K80" s="11" t="n">
        <x:v>20.17</x:v>
      </x:c>
      <x:c r="L80" s="11" t="n">
        <x:v>19.63</x:v>
      </x:c>
      <x:c r="M80" s="11" t="n">
        <x:v>19.44</x:v>
      </x:c>
      <x:c r="N80" s="11">
        <x:f>J80-K80</x:f>
      </x:c>
      <x:c r="O80" s="12">
        <x:f>IF(K80=0,0,N80/K80)</x:f>
      </x:c>
      <x:c r="P80" s="11">
        <x:f>J80-L80</x:f>
      </x:c>
      <x:c r="Q80" s="12">
        <x:f>IF(L80=0,0,P80/L80)</x:f>
      </x:c>
      <x:c r="R80" s="11">
        <x:f>J80-M80</x:f>
      </x:c>
      <x:c r="S80" s="11">
        <x:f>IF(I80="Revenue",N80,-N80)</x:f>
      </x:c>
      <x:c r="T80">
        <x:f>IF(S80&gt;=0,"Favourable","Unfavourable")</x:f>
      </x:c>
      <x:c r="U80" s="11" t="n">
        <x:v>-0.3</x:v>
      </x:c>
      <x:c r="V80" s="11" t="n">
        <x:v>-0.16</x:v>
      </x:c>
      <x:c r="W80" s="11" t="n">
        <x:v>-0.02</x:v>
      </x:c>
      <x:c r="X80" s="11" t="n">
        <x:v>0.02</x:v>
      </x:c>
      <x:c r="Y80" s="11">
        <x:f>ROUND(U80+V80+W80+X80-N80,2)</x:f>
      </x:c>
      <x:c r="Z80">
        <x:f>IF(AND(ABS(ROUND(N80,2))&gt;=0.5,ABS(O80)&gt;=0.05),"Yes","No")</x:f>
      </x:c>
      <x:c r="AA80" t="inlineStr">
        <x:is>
          <x:t xml:space="preserve">Closed actual</x:t>
        </x:is>
      </x:c>
      <x:c r="AB80" t="inlineStr">
        <x:is>
          <x:t xml:space="preserve"/>
        </x:is>
      </x:c>
      <x:c r="AC80" t="inlineStr">
        <x:is>
          <x:t xml:space="preserve"/>
        </x:is>
      </x:c>
      <x:c r="AD80" t="inlineStr">
        <x:is>
          <x:t xml:space="preserve">Synthetic - CIE training only</x:t>
        </x:is>
      </x:c>
    </x:row>
    <x:row r="81">
      <x:c r="A81" t="inlineStr">
        <x:is>
          <x:t xml:space="preserve">FIN-0076</x:t>
        </x:is>
      </x:c>
      <x:c r="B81" t="inlineStr">
        <x:is>
          <x:t xml:space="preserve">P08 Aug-2026</x:t>
        </x:is>
      </x:c>
      <x:c r="C81" s="10" t="n">
        <x:v>46265</x:v>
      </x:c>
      <x:c r="D81" t="inlineStr">
        <x:is>
          <x:t xml:space="preserve">Region Atlas</x:t>
        </x:is>
      </x:c>
      <x:c r="E81" t="inlineStr">
        <x:is>
          <x:t xml:space="preserve">Southport</x:t>
        </x:is>
      </x:c>
      <x:c r="F81" t="inlineStr">
        <x:is>
          <x:t xml:space="preserve">Supply Chain</x:t>
        </x:is>
      </x:c>
      <x:c r="G81" t="inlineStr">
        <x:is>
          <x:t xml:space="preserve">SP-SCM-300</x:t>
        </x:is>
      </x:c>
      <x:c r="H81" t="inlineStr">
        <x:is>
          <x:t xml:space="preserve">Logistics &amp; Distribution</x:t>
        </x:is>
      </x:c>
      <x:c r="I81" t="inlineStr">
        <x:is>
          <x:t xml:space="preserve">Cost</x:t>
        </x:is>
      </x:c>
      <x:c r="J81" s="11" t="n">
        <x:v>4.41</x:v>
      </x:c>
      <x:c r="K81" s="11" t="n">
        <x:v>4.29</x:v>
      </x:c>
      <x:c r="L81" s="11" t="n">
        <x:v>4.23</x:v>
      </x:c>
      <x:c r="M81" s="11" t="n">
        <x:v>4.38</x:v>
      </x:c>
      <x:c r="N81" s="11">
        <x:f>J81-K81</x:f>
      </x:c>
      <x:c r="O81" s="12">
        <x:f>IF(K81=0,0,N81/K81)</x:f>
      </x:c>
      <x:c r="P81" s="11">
        <x:f>J81-L81</x:f>
      </x:c>
      <x:c r="Q81" s="12">
        <x:f>IF(L81=0,0,P81/L81)</x:f>
      </x:c>
      <x:c r="R81" s="11">
        <x:f>J81-M81</x:f>
      </x:c>
      <x:c r="S81" s="11">
        <x:f>IF(I81="Revenue",N81,-N81)</x:f>
      </x:c>
      <x:c r="T81">
        <x:f>IF(S81&gt;=0,"Favourable","Unfavourable")</x:f>
      </x:c>
      <x:c r="U81" s="11" t="n">
        <x:v>0.06</x:v>
      </x:c>
      <x:c r="V81" s="11" t="n">
        <x:v>0.04</x:v>
      </x:c>
      <x:c r="W81" s="11" t="n">
        <x:v>0.03</x:v>
      </x:c>
      <x:c r="X81" s="11" t="n">
        <x:v>-0.01</x:v>
      </x:c>
      <x:c r="Y81" s="11">
        <x:f>ROUND(U81+V81+W81+X81-N81,2)</x:f>
      </x:c>
      <x:c r="Z81">
        <x:f>IF(AND(ABS(ROUND(N81,2))&gt;=0.5,ABS(O81)&gt;=0.05),"Yes","No")</x:f>
      </x:c>
      <x:c r="AA81" t="inlineStr">
        <x:is>
          <x:t xml:space="preserve">Closed actual</x:t>
        </x:is>
      </x:c>
      <x:c r="AB81" t="inlineStr">
        <x:is>
          <x:t xml:space="preserve"/>
        </x:is>
      </x:c>
      <x:c r="AC81" t="inlineStr">
        <x:is>
          <x:t xml:space="preserve"/>
        </x:is>
      </x:c>
      <x:c r="AD81" t="inlineStr">
        <x:is>
          <x:t xml:space="preserve">Synthetic - CIE training only</x:t>
        </x:is>
      </x:c>
    </x:row>
    <x:row r="82">
      <x:c r="A82" t="inlineStr">
        <x:is>
          <x:t xml:space="preserve">FIN-0077</x:t>
        </x:is>
      </x:c>
      <x:c r="B82" t="inlineStr">
        <x:is>
          <x:t xml:space="preserve">P08 Aug-2026</x:t>
        </x:is>
      </x:c>
      <x:c r="C82" s="10" t="n">
        <x:v>46265</x:v>
      </x:c>
      <x:c r="D82" t="inlineStr">
        <x:is>
          <x:t xml:space="preserve">Region Atlas</x:t>
        </x:is>
      </x:c>
      <x:c r="E82" t="inlineStr">
        <x:is>
          <x:t xml:space="preserve">Southport</x:t>
        </x:is>
      </x:c>
      <x:c r="F82" t="inlineStr">
        <x:is>
          <x:t xml:space="preserve">Marketing</x:t>
        </x:is>
      </x:c>
      <x:c r="G82" t="inlineStr">
        <x:is>
          <x:t xml:space="preserve">SP-MKT-400</x:t>
        </x:is>
      </x:c>
      <x:c r="H82" t="inlineStr">
        <x:is>
          <x:t xml:space="preserve">Trade Marketing Investment</x:t>
        </x:is>
      </x:c>
      <x:c r="I82" t="inlineStr">
        <x:is>
          <x:t xml:space="preserve">Cost</x:t>
        </x:is>
      </x:c>
      <x:c r="J82" s="11" t="n">
        <x:v>5.29</x:v>
      </x:c>
      <x:c r="K82" s="11" t="n">
        <x:v>5.25</x:v>
      </x:c>
      <x:c r="L82" s="11" t="n">
        <x:v>4.97</x:v>
      </x:c>
      <x:c r="M82" s="11" t="n">
        <x:v>5.21</x:v>
      </x:c>
      <x:c r="N82" s="11">
        <x:f>J82-K82</x:f>
      </x:c>
      <x:c r="O82" s="12">
        <x:f>IF(K82=0,0,N82/K82)</x:f>
      </x:c>
      <x:c r="P82" s="11">
        <x:f>J82-L82</x:f>
      </x:c>
      <x:c r="Q82" s="12">
        <x:f>IF(L82=0,0,P82/L82)</x:f>
      </x:c>
      <x:c r="R82" s="11">
        <x:f>J82-M82</x:f>
      </x:c>
      <x:c r="S82" s="11">
        <x:f>IF(I82="Revenue",N82,-N82)</x:f>
      </x:c>
      <x:c r="T82">
        <x:f>IF(S82&gt;=0,"Favourable","Unfavourable")</x:f>
      </x:c>
      <x:c r="U82" s="11" t="n">
        <x:v>-0.08</x:v>
      </x:c>
      <x:c r="V82" s="11" t="n">
        <x:v>0.06</x:v>
      </x:c>
      <x:c r="W82" s="11" t="n">
        <x:v>0.06</x:v>
      </x:c>
      <x:c r="X82" s="11" t="n">
        <x:v>0</x:v>
      </x:c>
      <x:c r="Y82" s="11">
        <x:f>ROUND(U82+V82+W82+X82-N82,2)</x:f>
      </x:c>
      <x:c r="Z82">
        <x:f>IF(AND(ABS(ROUND(N82,2))&gt;=0.5,ABS(O82)&gt;=0.05),"Yes","No")</x:f>
      </x:c>
      <x:c r="AA82" t="inlineStr">
        <x:is>
          <x:t xml:space="preserve">Closed actual</x:t>
        </x:is>
      </x:c>
      <x:c r="AB82" t="inlineStr">
        <x:is>
          <x:t xml:space="preserve"/>
        </x:is>
      </x:c>
      <x:c r="AC82" t="inlineStr">
        <x:is>
          <x:t xml:space="preserve"/>
        </x:is>
      </x:c>
      <x:c r="AD82" t="inlineStr">
        <x:is>
          <x:t xml:space="preserve">Synthetic - CIE training only</x:t>
        </x:is>
      </x:c>
    </x:row>
    <x:row r="83">
      <x:c r="A83" t="inlineStr">
        <x:is>
          <x:t xml:space="preserve">FIN-0078</x:t>
        </x:is>
      </x:c>
      <x:c r="B83" t="inlineStr">
        <x:is>
          <x:t xml:space="preserve">P08 Aug-2026</x:t>
        </x:is>
      </x:c>
      <x:c r="C83" s="10" t="n">
        <x:v>46265</x:v>
      </x:c>
      <x:c r="D83" t="inlineStr">
        <x:is>
          <x:t xml:space="preserve">Region Atlas</x:t>
        </x:is>
      </x:c>
      <x:c r="E83" t="inlineStr">
        <x:is>
          <x:t xml:space="preserve">Southport</x:t>
        </x:is>
      </x:c>
      <x:c r="F83" t="inlineStr">
        <x:is>
          <x:t xml:space="preserve">Commercial</x:t>
        </x:is>
      </x:c>
      <x:c r="G83" t="inlineStr">
        <x:is>
          <x:t xml:space="preserve">SP-COM-110</x:t>
        </x:is>
      </x:c>
      <x:c r="H83" t="inlineStr">
        <x:is>
          <x:t xml:space="preserve">Sales Force Cost</x:t>
        </x:is>
      </x:c>
      <x:c r="I83" t="inlineStr">
        <x:is>
          <x:t xml:space="preserve">Cost</x:t>
        </x:is>
      </x:c>
      <x:c r="J83" s="11" t="n">
        <x:v>3.24</x:v>
      </x:c>
      <x:c r="K83" s="11" t="n">
        <x:v>3.29</x:v>
      </x:c>
      <x:c r="L83" s="11" t="n">
        <x:v>3.2</x:v>
      </x:c>
      <x:c r="M83" s="11" t="n">
        <x:v>3.25</x:v>
      </x:c>
      <x:c r="N83" s="11">
        <x:f>J83-K83</x:f>
      </x:c>
      <x:c r="O83" s="12">
        <x:f>IF(K83=0,0,N83/K83)</x:f>
      </x:c>
      <x:c r="P83" s="11">
        <x:f>J83-L83</x:f>
      </x:c>
      <x:c r="Q83" s="12">
        <x:f>IF(L83=0,0,P83/L83)</x:f>
      </x:c>
      <x:c r="R83" s="11">
        <x:f>J83-M83</x:f>
      </x:c>
      <x:c r="S83" s="11">
        <x:f>IF(I83="Revenue",N83,-N83)</x:f>
      </x:c>
      <x:c r="T83">
        <x:f>IF(S83&gt;=0,"Favourable","Unfavourable")</x:f>
      </x:c>
      <x:c r="U83" s="11" t="n">
        <x:v>-0.03</x:v>
      </x:c>
      <x:c r="V83" s="11" t="n">
        <x:v>-0.01</x:v>
      </x:c>
      <x:c r="W83" s="11" t="n">
        <x:v>0.01</x:v>
      </x:c>
      <x:c r="X83" s="11" t="n">
        <x:v>-0.02</x:v>
      </x:c>
      <x:c r="Y83" s="11">
        <x:f>ROUND(U83+V83+W83+X83-N83,2)</x:f>
      </x:c>
      <x:c r="Z83">
        <x:f>IF(AND(ABS(ROUND(N83,2))&gt;=0.5,ABS(O83)&gt;=0.05),"Yes","No")</x:f>
      </x:c>
      <x:c r="AA83" t="inlineStr">
        <x:is>
          <x:t xml:space="preserve">Closed actual</x:t>
        </x:is>
      </x:c>
      <x:c r="AB83" t="inlineStr">
        <x:is>
          <x:t xml:space="preserve"/>
        </x:is>
      </x:c>
      <x:c r="AC83" t="inlineStr">
        <x:is>
          <x:t xml:space="preserve"/>
        </x:is>
      </x:c>
      <x:c r="AD83" t="inlineStr">
        <x:is>
          <x:t xml:space="preserve">Synthetic - CIE training only</x:t>
        </x:is>
      </x:c>
    </x:row>
    <x:row r="84">
      <x:c r="A84" t="inlineStr">
        <x:is>
          <x:t xml:space="preserve">FIN-0079</x:t>
        </x:is>
      </x:c>
      <x:c r="B84" t="inlineStr">
        <x:is>
          <x:t xml:space="preserve">P08 Aug-2026</x:t>
        </x:is>
      </x:c>
      <x:c r="C84" s="10" t="n">
        <x:v>46265</x:v>
      </x:c>
      <x:c r="D84" t="inlineStr">
        <x:is>
          <x:t xml:space="preserve">Region Atlas</x:t>
        </x:is>
      </x:c>
      <x:c r="E84" t="inlineStr">
        <x:is>
          <x:t xml:space="preserve">Southport</x:t>
        </x:is>
      </x:c>
      <x:c r="F84" t="inlineStr">
        <x:is>
          <x:t xml:space="preserve">Digital &amp; IT</x:t>
        </x:is>
      </x:c>
      <x:c r="G84" t="inlineStr">
        <x:is>
          <x:t xml:space="preserve">SP-DIT-500</x:t>
        </x:is>
      </x:c>
      <x:c r="H84" t="inlineStr">
        <x:is>
          <x:t xml:space="preserve">Digital &amp; IT Cost</x:t>
        </x:is>
      </x:c>
      <x:c r="I84" t="inlineStr">
        <x:is>
          <x:t xml:space="preserve">Cost</x:t>
        </x:is>
      </x:c>
      <x:c r="J84" s="11" t="n">
        <x:v>2.27</x:v>
      </x:c>
      <x:c r="K84" s="11" t="n">
        <x:v>2.28</x:v>
      </x:c>
      <x:c r="L84" s="11" t="n">
        <x:v>2.14</x:v>
      </x:c>
      <x:c r="M84" s="11" t="n">
        <x:v>2.32</x:v>
      </x:c>
      <x:c r="N84" s="11">
        <x:f>J84-K84</x:f>
      </x:c>
      <x:c r="O84" s="12">
        <x:f>IF(K84=0,0,N84/K84)</x:f>
      </x:c>
      <x:c r="P84" s="11">
        <x:f>J84-L84</x:f>
      </x:c>
      <x:c r="Q84" s="12">
        <x:f>IF(L84=0,0,P84/L84)</x:f>
      </x:c>
      <x:c r="R84" s="11">
        <x:f>J84-M84</x:f>
      </x:c>
      <x:c r="S84" s="11">
        <x:f>IF(I84="Revenue",N84,-N84)</x:f>
      </x:c>
      <x:c r="T84">
        <x:f>IF(S84&gt;=0,"Favourable","Unfavourable")</x:f>
      </x:c>
      <x:c r="U84" s="11" t="n">
        <x:v>-0.01</x:v>
      </x:c>
      <x:c r="V84" s="11" t="n">
        <x:v>-0.01</x:v>
      </x:c>
      <x:c r="W84" s="11" t="n">
        <x:v>0.01</x:v>
      </x:c>
      <x:c r="X84" s="11" t="n">
        <x:v>0</x:v>
      </x:c>
      <x:c r="Y84" s="11">
        <x:f>ROUND(U84+V84+W84+X84-N84,2)</x:f>
      </x:c>
      <x:c r="Z84">
        <x:f>IF(AND(ABS(ROUND(N84,2))&gt;=0.5,ABS(O84)&gt;=0.05),"Yes","No")</x:f>
      </x:c>
      <x:c r="AA84" t="inlineStr">
        <x:is>
          <x:t xml:space="preserve">Closed actual</x:t>
        </x:is>
      </x:c>
      <x:c r="AB84" t="inlineStr">
        <x:is>
          <x:t xml:space="preserve"/>
        </x:is>
      </x:c>
      <x:c r="AC84" t="inlineStr">
        <x:is>
          <x:t xml:space="preserve"/>
        </x:is>
      </x:c>
      <x:c r="AD84" t="inlineStr">
        <x:is>
          <x:t xml:space="preserve">Synthetic - CIE training only</x:t>
        </x:is>
      </x:c>
    </x:row>
    <x:row r="85">
      <x:c r="A85" t="inlineStr">
        <x:is>
          <x:t xml:space="preserve">FIN-0080</x:t>
        </x:is>
      </x:c>
      <x:c r="B85" t="inlineStr">
        <x:is>
          <x:t xml:space="preserve">P08 Aug-2026</x:t>
        </x:is>
      </x:c>
      <x:c r="C85" s="10" t="n">
        <x:v>46265</x:v>
      </x:c>
      <x:c r="D85" t="inlineStr">
        <x:is>
          <x:t xml:space="preserve">Region Atlas</x:t>
        </x:is>
      </x:c>
      <x:c r="E85" t="inlineStr">
        <x:is>
          <x:t xml:space="preserve">Southport</x:t>
        </x:is>
      </x:c>
      <x:c r="F85" t="inlineStr">
        <x:is>
          <x:t xml:space="preserve">Finance</x:t>
        </x:is>
      </x:c>
      <x:c r="G85" t="inlineStr">
        <x:is>
          <x:t xml:space="preserve">SP-FIN-600</x:t>
        </x:is>
      </x:c>
      <x:c r="H85" t="inlineStr">
        <x:is>
          <x:t xml:space="preserve">General &amp; Admin Cost</x:t>
        </x:is>
      </x:c>
      <x:c r="I85" t="inlineStr">
        <x:is>
          <x:t xml:space="preserve">Cost</x:t>
        </x:is>
      </x:c>
      <x:c r="J85" s="11" t="n">
        <x:v>1.99</x:v>
      </x:c>
      <x:c r="K85" s="11" t="n">
        <x:v>1.99</x:v>
      </x:c>
      <x:c r="L85" s="11" t="n">
        <x:v>1.86</x:v>
      </x:c>
      <x:c r="M85" s="11" t="n">
        <x:v>1.96</x:v>
      </x:c>
      <x:c r="N85" s="11">
        <x:f>J85-K85</x:f>
      </x:c>
      <x:c r="O85" s="12">
        <x:f>IF(K85=0,0,N85/K85)</x:f>
      </x:c>
      <x:c r="P85" s="11">
        <x:f>J85-L85</x:f>
      </x:c>
      <x:c r="Q85" s="12">
        <x:f>IF(L85=0,0,P85/L85)</x:f>
      </x:c>
      <x:c r="R85" s="11">
        <x:f>J85-M85</x:f>
      </x:c>
      <x:c r="S85" s="11">
        <x:f>IF(I85="Revenue",N85,-N85)</x:f>
      </x:c>
      <x:c r="T85">
        <x:f>IF(S85&gt;=0,"Favourable","Unfavourable")</x:f>
      </x:c>
      <x:c r="U85" s="11" t="n">
        <x:v>-0.02</x:v>
      </x:c>
      <x:c r="V85" s="11" t="n">
        <x:v>-0.02</x:v>
      </x:c>
      <x:c r="W85" s="11" t="n">
        <x:v>0.03</x:v>
      </x:c>
      <x:c r="X85" s="11" t="n">
        <x:v>0.01</x:v>
      </x:c>
      <x:c r="Y85" s="11">
        <x:f>ROUND(U85+V85+W85+X85-N85,2)</x:f>
      </x:c>
      <x:c r="Z85">
        <x:f>IF(AND(ABS(ROUND(N85,2))&gt;=0.5,ABS(O85)&gt;=0.05),"Yes","No")</x:f>
      </x:c>
      <x:c r="AA85" t="inlineStr">
        <x:is>
          <x:t xml:space="preserve">Closed actual</x:t>
        </x:is>
      </x:c>
      <x:c r="AB85" t="inlineStr">
        <x:is>
          <x:t xml:space="preserve"/>
        </x:is>
      </x:c>
      <x:c r="AC85" t="inlineStr">
        <x:is>
          <x:t xml:space="preserve"/>
        </x:is>
      </x:c>
      <x:c r="AD85" t="inlineStr">
        <x:is>
          <x:t xml:space="preserve">Synthetic - CIE training only</x:t>
        </x:is>
      </x:c>
    </x:row>
    <x:row r="86">
      <x:c r="A86" t="inlineStr">
        <x:is>
          <x:t xml:space="preserve">FIN-0081</x:t>
        </x:is>
      </x:c>
      <x:c r="B86" t="inlineStr">
        <x:is>
          <x:t xml:space="preserve">P08 Aug-2026</x:t>
        </x:is>
      </x:c>
      <x:c r="C86" s="10" t="n">
        <x:v>46265</x:v>
      </x:c>
      <x:c r="D86" t="inlineStr">
        <x:is>
          <x:t xml:space="preserve">Region Atlas</x:t>
        </x:is>
      </x:c>
      <x:c r="E86" t="inlineStr">
        <x:is>
          <x:t xml:space="preserve">Southport</x:t>
        </x:is>
      </x:c>
      <x:c r="F86" t="inlineStr">
        <x:is>
          <x:t xml:space="preserve">Operations</x:t>
        </x:is>
      </x:c>
      <x:c r="G86" t="inlineStr">
        <x:is>
          <x:t xml:space="preserve">SP-OPS-210</x:t>
        </x:is>
      </x:c>
      <x:c r="H86" t="inlineStr">
        <x:is>
          <x:t xml:space="preserve">Facilities Cost</x:t>
        </x:is>
      </x:c>
      <x:c r="I86" t="inlineStr">
        <x:is>
          <x:t xml:space="preserve">Cost</x:t>
        </x:is>
      </x:c>
      <x:c r="J86" s="11" t="n">
        <x:v>1.06</x:v>
      </x:c>
      <x:c r="K86" s="11" t="n">
        <x:v>1.05</x:v>
      </x:c>
      <x:c r="L86" s="11" t="n">
        <x:v>0.98</x:v>
      </x:c>
      <x:c r="M86" s="11" t="n">
        <x:v>1.08</x:v>
      </x:c>
      <x:c r="N86" s="11">
        <x:f>J86-K86</x:f>
      </x:c>
      <x:c r="O86" s="12">
        <x:f>IF(K86=0,0,N86/K86)</x:f>
      </x:c>
      <x:c r="P86" s="11">
        <x:f>J86-L86</x:f>
      </x:c>
      <x:c r="Q86" s="12">
        <x:f>IF(L86=0,0,P86/L86)</x:f>
      </x:c>
      <x:c r="R86" s="11">
        <x:f>J86-M86</x:f>
      </x:c>
      <x:c r="S86" s="11">
        <x:f>IF(I86="Revenue",N86,-N86)</x:f>
      </x:c>
      <x:c r="T86">
        <x:f>IF(S86&gt;=0,"Favourable","Unfavourable")</x:f>
      </x:c>
      <x:c r="U86" s="11" t="n">
        <x:v>0</x:v>
      </x:c>
      <x:c r="V86" s="11" t="n">
        <x:v>0.01</x:v>
      </x:c>
      <x:c r="W86" s="11" t="n">
        <x:v>0</x:v>
      </x:c>
      <x:c r="X86" s="11" t="n">
        <x:v>0</x:v>
      </x:c>
      <x:c r="Y86" s="11">
        <x:f>ROUND(U86+V86+W86+X86-N86,2)</x:f>
      </x:c>
      <x:c r="Z86">
        <x:f>IF(AND(ABS(ROUND(N86,2))&gt;=0.5,ABS(O86)&gt;=0.05),"Yes","No")</x:f>
      </x:c>
      <x:c r="AA86" t="inlineStr">
        <x:is>
          <x:t xml:space="preserve">Closed actual</x:t>
        </x:is>
      </x:c>
      <x:c r="AB86" t="inlineStr">
        <x:is>
          <x:t xml:space="preserve"/>
        </x:is>
      </x:c>
      <x:c r="AC86" t="inlineStr">
        <x:is>
          <x:t xml:space="preserve"/>
        </x:is>
      </x:c>
      <x:c r="AD86" t="inlineStr">
        <x:is>
          <x:t xml:space="preserve">Synthetic - CIE training only</x:t>
        </x:is>
      </x:c>
    </x:row>
    <x:row r="87">
      <x:c r="A87" t="inlineStr">
        <x:is>
          <x:t xml:space="preserve">FIN-0082</x:t>
        </x:is>
      </x:c>
      <x:c r="B87" t="inlineStr">
        <x:is>
          <x:t xml:space="preserve">P08 Aug-2026</x:t>
        </x:is>
      </x:c>
      <x:c r="C87" s="10" t="n">
        <x:v>46265</x:v>
      </x:c>
      <x:c r="D87" t="inlineStr">
        <x:is>
          <x:t xml:space="preserve">Region Atlas</x:t>
        </x:is>
      </x:c>
      <x:c r="E87" t="inlineStr">
        <x:is>
          <x:t xml:space="preserve">Westbrook</x:t>
        </x:is>
      </x:c>
      <x:c r="F87" t="inlineStr">
        <x:is>
          <x:t xml:space="preserve">Commercial</x:t>
        </x:is>
      </x:c>
      <x:c r="G87" t="inlineStr">
        <x:is>
          <x:t xml:space="preserve">WB-COM-100</x:t>
        </x:is>
      </x:c>
      <x:c r="H87" t="inlineStr">
        <x:is>
          <x:t xml:space="preserve">Net Revenue</x:t>
        </x:is>
      </x:c>
      <x:c r="I87" t="inlineStr">
        <x:is>
          <x:t xml:space="preserve">Revenue</x:t>
        </x:is>
      </x:c>
      <x:c r="J87" s="11" t="n">
        <x:v>70.70999999999999</x:v>
      </x:c>
      <x:c r="K87" s="11" t="n">
        <x:v>67.72</x:v>
      </x:c>
      <x:c r="L87" s="11" t="n">
        <x:v>65.95999999999999</x:v>
      </x:c>
      <x:c r="M87" s="11" t="n">
        <x:v>70.84</x:v>
      </x:c>
      <x:c r="N87" s="11">
        <x:f>J87-K87</x:f>
      </x:c>
      <x:c r="O87" s="12">
        <x:f>IF(K87=0,0,N87/K87)</x:f>
      </x:c>
      <x:c r="P87" s="11">
        <x:f>J87-L87</x:f>
      </x:c>
      <x:c r="Q87" s="12">
        <x:f>IF(L87=0,0,P87/L87)</x:f>
      </x:c>
      <x:c r="R87" s="11">
        <x:f>J87-M87</x:f>
      </x:c>
      <x:c r="S87" s="11">
        <x:f>IF(I87="Revenue",N87,-N87)</x:f>
      </x:c>
      <x:c r="T87">
        <x:f>IF(S87&gt;=0,"Favourable","Unfavourable")</x:f>
      </x:c>
      <x:c r="U87" s="11" t="n">
        <x:v>1.41</x:v>
      </x:c>
      <x:c r="V87" s="11" t="n">
        <x:v>0.93</x:v>
      </x:c>
      <x:c r="W87" s="11" t="n">
        <x:v>0.54</x:v>
      </x:c>
      <x:c r="X87" s="11" t="n">
        <x:v>0.11</x:v>
      </x:c>
      <x:c r="Y87" s="11">
        <x:f>ROUND(U87+V87+W87+X87-N87,2)</x:f>
      </x:c>
      <x:c r="Z87">
        <x:f>IF(AND(ABS(ROUND(N87,2))&gt;=0.5,ABS(O87)&gt;=0.05),"Yes","No")</x:f>
      </x:c>
      <x:c r="AA87" t="inlineStr">
        <x:is>
          <x:t xml:space="preserve">Closed actual</x:t>
        </x:is>
      </x:c>
      <x:c r="AB87" t="inlineStr">
        <x:is>
          <x:t xml:space="preserve"/>
        </x:is>
      </x:c>
      <x:c r="AC87" t="inlineStr">
        <x:is>
          <x:t xml:space="preserve"/>
        </x:is>
      </x:c>
      <x:c r="AD87" t="inlineStr">
        <x:is>
          <x:t xml:space="preserve">Synthetic - CIE training only</x:t>
        </x:is>
      </x:c>
    </x:row>
    <x:row r="88">
      <x:c r="A88" t="inlineStr">
        <x:is>
          <x:t xml:space="preserve">FIN-0083</x:t>
        </x:is>
      </x:c>
      <x:c r="B88" t="inlineStr">
        <x:is>
          <x:t xml:space="preserve">P08 Aug-2026</x:t>
        </x:is>
      </x:c>
      <x:c r="C88" s="10" t="n">
        <x:v>46265</x:v>
      </x:c>
      <x:c r="D88" t="inlineStr">
        <x:is>
          <x:t xml:space="preserve">Region Atlas</x:t>
        </x:is>
      </x:c>
      <x:c r="E88" t="inlineStr">
        <x:is>
          <x:t xml:space="preserve">Westbrook</x:t>
        </x:is>
      </x:c>
      <x:c r="F88" t="inlineStr">
        <x:is>
          <x:t xml:space="preserve">Finance</x:t>
        </x:is>
      </x:c>
      <x:c r="G88" t="inlineStr">
        <x:is>
          <x:t xml:space="preserve">WB-FIN-900</x:t>
        </x:is>
      </x:c>
      <x:c r="H88" t="inlineStr">
        <x:is>
          <x:t xml:space="preserve">Other Operating Income</x:t>
        </x:is>
      </x:c>
      <x:c r="I88" t="inlineStr">
        <x:is>
          <x:t xml:space="preserve">Revenue</x:t>
        </x:is>
      </x:c>
      <x:c r="J88" s="11" t="n">
        <x:v>1.77</x:v>
      </x:c>
      <x:c r="K88" s="11" t="n">
        <x:v>1.75</x:v>
      </x:c>
      <x:c r="L88" s="11" t="n">
        <x:v>1.65</x:v>
      </x:c>
      <x:c r="M88" s="11" t="n">
        <x:v>1.78</x:v>
      </x:c>
      <x:c r="N88" s="11">
        <x:f>J88-K88</x:f>
      </x:c>
      <x:c r="O88" s="12">
        <x:f>IF(K88=0,0,N88/K88)</x:f>
      </x:c>
      <x:c r="P88" s="11">
        <x:f>J88-L88</x:f>
      </x:c>
      <x:c r="Q88" s="12">
        <x:f>IF(L88=0,0,P88/L88)</x:f>
      </x:c>
      <x:c r="R88" s="11">
        <x:f>J88-M88</x:f>
      </x:c>
      <x:c r="S88" s="11">
        <x:f>IF(I88="Revenue",N88,-N88)</x:f>
      </x:c>
      <x:c r="T88">
        <x:f>IF(S88&gt;=0,"Favourable","Unfavourable")</x:f>
      </x:c>
      <x:c r="U88" s="11" t="n">
        <x:v>0.02</x:v>
      </x:c>
      <x:c r="V88" s="11" t="n">
        <x:v>0</x:v>
      </x:c>
      <x:c r="W88" s="11" t="n">
        <x:v>0</x:v>
      </x:c>
      <x:c r="X88" s="11" t="n">
        <x:v>0</x:v>
      </x:c>
      <x:c r="Y88" s="11">
        <x:f>ROUND(U88+V88+W88+X88-N88,2)</x:f>
      </x:c>
      <x:c r="Z88">
        <x:f>IF(AND(ABS(ROUND(N88,2))&gt;=0.5,ABS(O88)&gt;=0.05),"Yes","No")</x:f>
      </x:c>
      <x:c r="AA88" t="inlineStr">
        <x:is>
          <x:t xml:space="preserve">Closed actual</x:t>
        </x:is>
      </x:c>
      <x:c r="AB88" t="inlineStr">
        <x:is>
          <x:t xml:space="preserve"/>
        </x:is>
      </x:c>
      <x:c r="AC88" t="inlineStr">
        <x:is>
          <x:t xml:space="preserve"/>
        </x:is>
      </x:c>
      <x:c r="AD88" t="inlineStr">
        <x:is>
          <x:t xml:space="preserve">Synthetic - CIE training only</x:t>
        </x:is>
      </x:c>
    </x:row>
    <x:row r="89">
      <x:c r="A89" t="inlineStr">
        <x:is>
          <x:t xml:space="preserve">FIN-0084</x:t>
        </x:is>
      </x:c>
      <x:c r="B89" t="inlineStr">
        <x:is>
          <x:t xml:space="preserve">P08 Aug-2026</x:t>
        </x:is>
      </x:c>
      <x:c r="C89" s="10" t="n">
        <x:v>46265</x:v>
      </x:c>
      <x:c r="D89" t="inlineStr">
        <x:is>
          <x:t xml:space="preserve">Region Atlas</x:t>
        </x:is>
      </x:c>
      <x:c r="E89" t="inlineStr">
        <x:is>
          <x:t xml:space="preserve">Westbrook</x:t>
        </x:is>
      </x:c>
      <x:c r="F89" t="inlineStr">
        <x:is>
          <x:t xml:space="preserve">Operations</x:t>
        </x:is>
      </x:c>
      <x:c r="G89" t="inlineStr">
        <x:is>
          <x:t xml:space="preserve">WB-OPS-200</x:t>
        </x:is>
      </x:c>
      <x:c r="H89" t="inlineStr">
        <x:is>
          <x:t xml:space="preserve">Cost of Goods Sold</x:t>
        </x:is>
      </x:c>
      <x:c r="I89" t="inlineStr">
        <x:is>
          <x:t xml:space="preserve">Cost</x:t>
        </x:is>
      </x:c>
      <x:c r="J89" s="11" t="n">
        <x:v>24.26</x:v>
      </x:c>
      <x:c r="K89" s="11" t="n">
        <x:v>24.7</x:v>
      </x:c>
      <x:c r="L89" s="11" t="n">
        <x:v>23.83</x:v>
      </x:c>
      <x:c r="M89" s="11" t="n">
        <x:v>24.44</x:v>
      </x:c>
      <x:c r="N89" s="11">
        <x:f>J89-K89</x:f>
      </x:c>
      <x:c r="O89" s="12">
        <x:f>IF(K89=0,0,N89/K89)</x:f>
      </x:c>
      <x:c r="P89" s="11">
        <x:f>J89-L89</x:f>
      </x:c>
      <x:c r="Q89" s="12">
        <x:f>IF(L89=0,0,P89/L89)</x:f>
      </x:c>
      <x:c r="R89" s="11">
        <x:f>J89-M89</x:f>
      </x:c>
      <x:c r="S89" s="11">
        <x:f>IF(I89="Revenue",N89,-N89)</x:f>
      </x:c>
      <x:c r="T89">
        <x:f>IF(S89&gt;=0,"Favourable","Unfavourable")</x:f>
      </x:c>
      <x:c r="U89" s="11" t="n">
        <x:v>-0.33</x:v>
      </x:c>
      <x:c r="V89" s="11" t="n">
        <x:v>-0.16</x:v>
      </x:c>
      <x:c r="W89" s="11" t="n">
        <x:v>0.18</x:v>
      </x:c>
      <x:c r="X89" s="11" t="n">
        <x:v>-0.13</x:v>
      </x:c>
      <x:c r="Y89" s="11">
        <x:f>ROUND(U89+V89+W89+X89-N89,2)</x:f>
      </x:c>
      <x:c r="Z89">
        <x:f>IF(AND(ABS(ROUND(N89,2))&gt;=0.5,ABS(O89)&gt;=0.05),"Yes","No")</x:f>
      </x:c>
      <x:c r="AA89" t="inlineStr">
        <x:is>
          <x:t xml:space="preserve">Closed actual</x:t>
        </x:is>
      </x:c>
      <x:c r="AB89" t="inlineStr">
        <x:is>
          <x:t xml:space="preserve"/>
        </x:is>
      </x:c>
      <x:c r="AC89" t="inlineStr">
        <x:is>
          <x:t xml:space="preserve"/>
        </x:is>
      </x:c>
      <x:c r="AD89" t="inlineStr">
        <x:is>
          <x:t xml:space="preserve">Synthetic - CIE training only</x:t>
        </x:is>
      </x:c>
    </x:row>
    <x:row r="90">
      <x:c r="A90" t="inlineStr">
        <x:is>
          <x:t xml:space="preserve">FIN-0085</x:t>
        </x:is>
      </x:c>
      <x:c r="B90" t="inlineStr">
        <x:is>
          <x:t xml:space="preserve">P08 Aug-2026</x:t>
        </x:is>
      </x:c>
      <x:c r="C90" s="10" t="n">
        <x:v>46265</x:v>
      </x:c>
      <x:c r="D90" t="inlineStr">
        <x:is>
          <x:t xml:space="preserve">Region Atlas</x:t>
        </x:is>
      </x:c>
      <x:c r="E90" t="inlineStr">
        <x:is>
          <x:t xml:space="preserve">Westbrook</x:t>
        </x:is>
      </x:c>
      <x:c r="F90" t="inlineStr">
        <x:is>
          <x:t xml:space="preserve">Supply Chain</x:t>
        </x:is>
      </x:c>
      <x:c r="G90" t="inlineStr">
        <x:is>
          <x:t xml:space="preserve">WB-SCM-300</x:t>
        </x:is>
      </x:c>
      <x:c r="H90" t="inlineStr">
        <x:is>
          <x:t xml:space="preserve">Logistics &amp; Distribution</x:t>
        </x:is>
      </x:c>
      <x:c r="I90" t="inlineStr">
        <x:is>
          <x:t xml:space="preserve">Cost</x:t>
        </x:is>
      </x:c>
      <x:c r="J90" s="11" t="n">
        <x:v>5.42</x:v>
      </x:c>
      <x:c r="K90" s="11" t="n">
        <x:v>5.34</x:v>
      </x:c>
      <x:c r="L90" s="11" t="n">
        <x:v>5.21</x:v>
      </x:c>
      <x:c r="M90" s="11" t="n">
        <x:v>5.48</x:v>
      </x:c>
      <x:c r="N90" s="11">
        <x:f>J90-K90</x:f>
      </x:c>
      <x:c r="O90" s="12">
        <x:f>IF(K90=0,0,N90/K90)</x:f>
      </x:c>
      <x:c r="P90" s="11">
        <x:f>J90-L90</x:f>
      </x:c>
      <x:c r="Q90" s="12">
        <x:f>IF(L90=0,0,P90/L90)</x:f>
      </x:c>
      <x:c r="R90" s="11">
        <x:f>J90-M90</x:f>
      </x:c>
      <x:c r="S90" s="11">
        <x:f>IF(I90="Revenue",N90,-N90)</x:f>
      </x:c>
      <x:c r="T90">
        <x:f>IF(S90&gt;=0,"Favourable","Unfavourable")</x:f>
      </x:c>
      <x:c r="U90" s="11" t="n">
        <x:v>0.05</x:v>
      </x:c>
      <x:c r="V90" s="11" t="n">
        <x:v>0</x:v>
      </x:c>
      <x:c r="W90" s="11" t="n">
        <x:v>0.03</x:v>
      </x:c>
      <x:c r="X90" s="11" t="n">
        <x:v>0</x:v>
      </x:c>
      <x:c r="Y90" s="11">
        <x:f>ROUND(U90+V90+W90+X90-N90,2)</x:f>
      </x:c>
      <x:c r="Z90">
        <x:f>IF(AND(ABS(ROUND(N90,2))&gt;=0.5,ABS(O90)&gt;=0.05),"Yes","No")</x:f>
      </x:c>
      <x:c r="AA90" t="inlineStr">
        <x:is>
          <x:t xml:space="preserve">Closed actual</x:t>
        </x:is>
      </x:c>
      <x:c r="AB90" t="inlineStr">
        <x:is>
          <x:t xml:space="preserve"/>
        </x:is>
      </x:c>
      <x:c r="AC90" t="inlineStr">
        <x:is>
          <x:t xml:space="preserve"/>
        </x:is>
      </x:c>
      <x:c r="AD90" t="inlineStr">
        <x:is>
          <x:t xml:space="preserve">Synthetic - CIE training only</x:t>
        </x:is>
      </x:c>
    </x:row>
    <x:row r="91">
      <x:c r="A91" t="inlineStr">
        <x:is>
          <x:t xml:space="preserve">FIN-0086</x:t>
        </x:is>
      </x:c>
      <x:c r="B91" t="inlineStr">
        <x:is>
          <x:t xml:space="preserve">P08 Aug-2026</x:t>
        </x:is>
      </x:c>
      <x:c r="C91" s="10" t="n">
        <x:v>46265</x:v>
      </x:c>
      <x:c r="D91" t="inlineStr">
        <x:is>
          <x:t xml:space="preserve">Region Atlas</x:t>
        </x:is>
      </x:c>
      <x:c r="E91" t="inlineStr">
        <x:is>
          <x:t xml:space="preserve">Westbrook</x:t>
        </x:is>
      </x:c>
      <x:c r="F91" t="inlineStr">
        <x:is>
          <x:t xml:space="preserve">Marketing</x:t>
        </x:is>
      </x:c>
      <x:c r="G91" t="inlineStr">
        <x:is>
          <x:t xml:space="preserve">WB-MKT-400</x:t>
        </x:is>
      </x:c>
      <x:c r="H91" t="inlineStr">
        <x:is>
          <x:t xml:space="preserve">Trade Marketing Investment</x:t>
        </x:is>
      </x:c>
      <x:c r="I91" t="inlineStr">
        <x:is>
          <x:t xml:space="preserve">Cost</x:t>
        </x:is>
      </x:c>
      <x:c r="J91" s="11" t="n">
        <x:v>4.16</x:v>
      </x:c>
      <x:c r="K91" s="11" t="n">
        <x:v>6.94</x:v>
      </x:c>
      <x:c r="L91" s="11" t="n">
        <x:v>6.5</x:v>
      </x:c>
      <x:c r="M91" s="11" t="n">
        <x:v>4.15</x:v>
      </x:c>
      <x:c r="N91" s="11">
        <x:f>J91-K91</x:f>
      </x:c>
      <x:c r="O91" s="12">
        <x:f>IF(K91=0,0,N91/K91)</x:f>
      </x:c>
      <x:c r="P91" s="11">
        <x:f>J91-L91</x:f>
      </x:c>
      <x:c r="Q91" s="12">
        <x:f>IF(L91=0,0,P91/L91)</x:f>
      </x:c>
      <x:c r="R91" s="11">
        <x:f>J91-M91</x:f>
      </x:c>
      <x:c r="S91" s="11">
        <x:f>IF(I91="Revenue",N91,-N91)</x:f>
      </x:c>
      <x:c r="T91">
        <x:f>IF(S91&gt;=0,"Favourable","Unfavourable")</x:f>
      </x:c>
      <x:c r="U91" s="11" t="n">
        <x:v>0</x:v>
      </x:c>
      <x:c r="V91" s="11" t="n">
        <x:v>0</x:v>
      </x:c>
      <x:c r="W91" s="11" t="n">
        <x:v>0</x:v>
      </x:c>
      <x:c r="X91" s="11" t="n">
        <x:v>-2.78</x:v>
      </x:c>
      <x:c r="Y91" s="11">
        <x:f>ROUND(U91+V91+W91+X91-N91,2)</x:f>
      </x:c>
      <x:c r="Z91">
        <x:f>IF(AND(ABS(ROUND(N91,2))&gt;=0.5,ABS(O91)&gt;=0.05),"Yes","No")</x:f>
      </x:c>
      <x:c r="AA91" t="inlineStr">
        <x:is>
          <x:t xml:space="preserve">Closed actual</x:t>
        </x:is>
      </x:c>
      <x:c r="AB91" t="inlineStr">
        <x:is>
          <x:t xml:space="preserve">Underspend is phasing - activity moved to P09</x:t>
        </x:is>
      </x:c>
      <x:c r="AC91" t="inlineStr">
        <x:is>
          <x:t xml:space="preserve"/>
        </x:is>
      </x:c>
      <x:c r="AD91" t="inlineStr">
        <x:is>
          <x:t xml:space="preserve">Synthetic - CIE training only</x:t>
        </x:is>
      </x:c>
    </x:row>
    <x:row r="92">
      <x:c r="A92" t="inlineStr">
        <x:is>
          <x:t xml:space="preserve">FIN-0087</x:t>
        </x:is>
      </x:c>
      <x:c r="B92" t="inlineStr">
        <x:is>
          <x:t xml:space="preserve">P08 Aug-2026</x:t>
        </x:is>
      </x:c>
      <x:c r="C92" s="10" t="n">
        <x:v>46265</x:v>
      </x:c>
      <x:c r="D92" t="inlineStr">
        <x:is>
          <x:t xml:space="preserve">Region Atlas</x:t>
        </x:is>
      </x:c>
      <x:c r="E92" t="inlineStr">
        <x:is>
          <x:t xml:space="preserve">Westbrook</x:t>
        </x:is>
      </x:c>
      <x:c r="F92" t="inlineStr">
        <x:is>
          <x:t xml:space="preserve">Commercial</x:t>
        </x:is>
      </x:c>
      <x:c r="G92" t="inlineStr">
        <x:is>
          <x:t xml:space="preserve">WB-COM-110</x:t>
        </x:is>
      </x:c>
      <x:c r="H92" t="inlineStr">
        <x:is>
          <x:t xml:space="preserve">Sales Force Cost</x:t>
        </x:is>
      </x:c>
      <x:c r="I92" t="inlineStr">
        <x:is>
          <x:t xml:space="preserve">Cost</x:t>
        </x:is>
      </x:c>
      <x:c r="J92" s="11" t="n">
        <x:v>4.06</x:v>
      </x:c>
      <x:c r="K92" s="11" t="n">
        <x:v>4.05</x:v>
      </x:c>
      <x:c r="L92" s="11" t="n">
        <x:v>3.96</x:v>
      </x:c>
      <x:c r="M92" s="11" t="n">
        <x:v>4</x:v>
      </x:c>
      <x:c r="N92" s="11">
        <x:f>J92-K92</x:f>
      </x:c>
      <x:c r="O92" s="12">
        <x:f>IF(K92=0,0,N92/K92)</x:f>
      </x:c>
      <x:c r="P92" s="11">
        <x:f>J92-L92</x:f>
      </x:c>
      <x:c r="Q92" s="12">
        <x:f>IF(L92=0,0,P92/L92)</x:f>
      </x:c>
      <x:c r="R92" s="11">
        <x:f>J92-M92</x:f>
      </x:c>
      <x:c r="S92" s="11">
        <x:f>IF(I92="Revenue",N92,-N92)</x:f>
      </x:c>
      <x:c r="T92">
        <x:f>IF(S92&gt;=0,"Favourable","Unfavourable")</x:f>
      </x:c>
      <x:c r="U92" s="11" t="n">
        <x:v>0.03</x:v>
      </x:c>
      <x:c r="V92" s="11" t="n">
        <x:v>-0.01</x:v>
      </x:c>
      <x:c r="W92" s="11" t="n">
        <x:v>0</x:v>
      </x:c>
      <x:c r="X92" s="11" t="n">
        <x:v>-0.01</x:v>
      </x:c>
      <x:c r="Y92" s="11">
        <x:f>ROUND(U92+V92+W92+X92-N92,2)</x:f>
      </x:c>
      <x:c r="Z92">
        <x:f>IF(AND(ABS(ROUND(N92,2))&gt;=0.5,ABS(O92)&gt;=0.05),"Yes","No")</x:f>
      </x:c>
      <x:c r="AA92" t="inlineStr">
        <x:is>
          <x:t xml:space="preserve">Closed actual</x:t>
        </x:is>
      </x:c>
      <x:c r="AB92" t="inlineStr">
        <x:is>
          <x:t xml:space="preserve"/>
        </x:is>
      </x:c>
      <x:c r="AC92" t="inlineStr">
        <x:is>
          <x:t xml:space="preserve"/>
        </x:is>
      </x:c>
      <x:c r="AD92" t="inlineStr">
        <x:is>
          <x:t xml:space="preserve">Synthetic - CIE training only</x:t>
        </x:is>
      </x:c>
    </x:row>
    <x:row r="93">
      <x:c r="A93" t="inlineStr">
        <x:is>
          <x:t xml:space="preserve">FIN-0088</x:t>
        </x:is>
      </x:c>
      <x:c r="B93" t="inlineStr">
        <x:is>
          <x:t xml:space="preserve">P08 Aug-2026</x:t>
        </x:is>
      </x:c>
      <x:c r="C93" s="10" t="n">
        <x:v>46265</x:v>
      </x:c>
      <x:c r="D93" t="inlineStr">
        <x:is>
          <x:t xml:space="preserve">Region Atlas</x:t>
        </x:is>
      </x:c>
      <x:c r="E93" t="inlineStr">
        <x:is>
          <x:t xml:space="preserve">Westbrook</x:t>
        </x:is>
      </x:c>
      <x:c r="F93" t="inlineStr">
        <x:is>
          <x:t xml:space="preserve">Digital &amp; IT</x:t>
        </x:is>
      </x:c>
      <x:c r="G93" t="inlineStr">
        <x:is>
          <x:t xml:space="preserve">WB-DIT-500</x:t>
        </x:is>
      </x:c>
      <x:c r="H93" t="inlineStr">
        <x:is>
          <x:t xml:space="preserve">Digital &amp; IT Cost</x:t>
        </x:is>
      </x:c>
      <x:c r="I93" t="inlineStr">
        <x:is>
          <x:t xml:space="preserve">Cost</x:t>
        </x:is>
      </x:c>
      <x:c r="J93" s="11" t="n">
        <x:v>2.89</x:v>
      </x:c>
      <x:c r="K93" s="11" t="n">
        <x:v>2.92</x:v>
      </x:c>
      <x:c r="L93" s="11" t="n">
        <x:v>2.87</x:v>
      </x:c>
      <x:c r="M93" s="11" t="n">
        <x:v>2.92</x:v>
      </x:c>
      <x:c r="N93" s="11">
        <x:f>J93-K93</x:f>
      </x:c>
      <x:c r="O93" s="12">
        <x:f>IF(K93=0,0,N93/K93)</x:f>
      </x:c>
      <x:c r="P93" s="11">
        <x:f>J93-L93</x:f>
      </x:c>
      <x:c r="Q93" s="12">
        <x:f>IF(L93=0,0,P93/L93)</x:f>
      </x:c>
      <x:c r="R93" s="11">
        <x:f>J93-M93</x:f>
      </x:c>
      <x:c r="S93" s="11">
        <x:f>IF(I93="Revenue",N93,-N93)</x:f>
      </x:c>
      <x:c r="T93">
        <x:f>IF(S93&gt;=0,"Favourable","Unfavourable")</x:f>
      </x:c>
      <x:c r="U93" s="11" t="n">
        <x:v>-0.05</x:v>
      </x:c>
      <x:c r="V93" s="11" t="n">
        <x:v>0.01</x:v>
      </x:c>
      <x:c r="W93" s="11" t="n">
        <x:v>0</x:v>
      </x:c>
      <x:c r="X93" s="11" t="n">
        <x:v>0.01</x:v>
      </x:c>
      <x:c r="Y93" s="11">
        <x:f>ROUND(U93+V93+W93+X93-N93,2)</x:f>
      </x:c>
      <x:c r="Z93">
        <x:f>IF(AND(ABS(ROUND(N93,2))&gt;=0.5,ABS(O93)&gt;=0.05),"Yes","No")</x:f>
      </x:c>
      <x:c r="AA93" t="inlineStr">
        <x:is>
          <x:t xml:space="preserve">Closed actual</x:t>
        </x:is>
      </x:c>
      <x:c r="AB93" t="inlineStr">
        <x:is>
          <x:t xml:space="preserve"/>
        </x:is>
      </x:c>
      <x:c r="AC93" t="inlineStr">
        <x:is>
          <x:t xml:space="preserve"/>
        </x:is>
      </x:c>
      <x:c r="AD93" t="inlineStr">
        <x:is>
          <x:t xml:space="preserve">Synthetic - CIE training only</x:t>
        </x:is>
      </x:c>
    </x:row>
    <x:row r="94">
      <x:c r="A94" t="inlineStr">
        <x:is>
          <x:t xml:space="preserve">FIN-0089</x:t>
        </x:is>
      </x:c>
      <x:c r="B94" t="inlineStr">
        <x:is>
          <x:t xml:space="preserve">P08 Aug-2026</x:t>
        </x:is>
      </x:c>
      <x:c r="C94" s="10" t="n">
        <x:v>46265</x:v>
      </x:c>
      <x:c r="D94" t="inlineStr">
        <x:is>
          <x:t xml:space="preserve">Region Atlas</x:t>
        </x:is>
      </x:c>
      <x:c r="E94" t="inlineStr">
        <x:is>
          <x:t xml:space="preserve">Westbrook</x:t>
        </x:is>
      </x:c>
      <x:c r="F94" t="inlineStr">
        <x:is>
          <x:t xml:space="preserve">Finance</x:t>
        </x:is>
      </x:c>
      <x:c r="G94" t="inlineStr">
        <x:is>
          <x:t xml:space="preserve">WB-FIN-600</x:t>
        </x:is>
      </x:c>
      <x:c r="H94" t="inlineStr">
        <x:is>
          <x:t xml:space="preserve">General &amp; Admin Cost</x:t>
        </x:is>
      </x:c>
      <x:c r="I94" t="inlineStr">
        <x:is>
          <x:t xml:space="preserve">Cost</x:t>
        </x:is>
      </x:c>
      <x:c r="J94" s="11" t="n">
        <x:v>2.18</x:v>
      </x:c>
      <x:c r="K94" s="11" t="n">
        <x:v>2.19</x:v>
      </x:c>
      <x:c r="L94" s="11" t="n">
        <x:v>2.06</x:v>
      </x:c>
      <x:c r="M94" s="11" t="n">
        <x:v>2.2</x:v>
      </x:c>
      <x:c r="N94" s="11">
        <x:f>J94-K94</x:f>
      </x:c>
      <x:c r="O94" s="12">
        <x:f>IF(K94=0,0,N94/K94)</x:f>
      </x:c>
      <x:c r="P94" s="11">
        <x:f>J94-L94</x:f>
      </x:c>
      <x:c r="Q94" s="12">
        <x:f>IF(L94=0,0,P94/L94)</x:f>
      </x:c>
      <x:c r="R94" s="11">
        <x:f>J94-M94</x:f>
      </x:c>
      <x:c r="S94" s="11">
        <x:f>IF(I94="Revenue",N94,-N94)</x:f>
      </x:c>
      <x:c r="T94">
        <x:f>IF(S94&gt;=0,"Favourable","Unfavourable")</x:f>
      </x:c>
      <x:c r="U94" s="11" t="n">
        <x:v>-0.03</x:v>
      </x:c>
      <x:c r="V94" s="11" t="n">
        <x:v>0.02</x:v>
      </x:c>
      <x:c r="W94" s="11" t="n">
        <x:v>0.02</x:v>
      </x:c>
      <x:c r="X94" s="11" t="n">
        <x:v>-0.02</x:v>
      </x:c>
      <x:c r="Y94" s="11">
        <x:f>ROUND(U94+V94+W94+X94-N94,2)</x:f>
      </x:c>
      <x:c r="Z94">
        <x:f>IF(AND(ABS(ROUND(N94,2))&gt;=0.5,ABS(O94)&gt;=0.05),"Yes","No")</x:f>
      </x:c>
      <x:c r="AA94" t="inlineStr">
        <x:is>
          <x:t xml:space="preserve">Closed actual</x:t>
        </x:is>
      </x:c>
      <x:c r="AB94" t="inlineStr">
        <x:is>
          <x:t xml:space="preserve"/>
        </x:is>
      </x:c>
      <x:c r="AC94" t="inlineStr">
        <x:is>
          <x:t xml:space="preserve"/>
        </x:is>
      </x:c>
      <x:c r="AD94" t="inlineStr">
        <x:is>
          <x:t xml:space="preserve">Synthetic - CIE training only</x:t>
        </x:is>
      </x:c>
    </x:row>
    <x:row r="95">
      <x:c r="A95" t="inlineStr">
        <x:is>
          <x:t xml:space="preserve">FIN-0090</x:t>
        </x:is>
      </x:c>
      <x:c r="B95" t="inlineStr">
        <x:is>
          <x:t xml:space="preserve">P08 Aug-2026</x:t>
        </x:is>
      </x:c>
      <x:c r="C95" s="10" t="n">
        <x:v>46265</x:v>
      </x:c>
      <x:c r="D95" t="inlineStr">
        <x:is>
          <x:t xml:space="preserve">Region Atlas</x:t>
        </x:is>
      </x:c>
      <x:c r="E95" t="inlineStr">
        <x:is>
          <x:t xml:space="preserve">Westbrook</x:t>
        </x:is>
      </x:c>
      <x:c r="F95" t="inlineStr">
        <x:is>
          <x:t xml:space="preserve">Operations</x:t>
        </x:is>
      </x:c>
      <x:c r="G95" t="inlineStr">
        <x:is>
          <x:t xml:space="preserve">WB-OPS-210</x:t>
        </x:is>
      </x:c>
      <x:c r="H95" t="inlineStr">
        <x:is>
          <x:t xml:space="preserve">Facilities Cost</x:t>
        </x:is>
      </x:c>
      <x:c r="I95" t="inlineStr">
        <x:is>
          <x:t xml:space="preserve">Cost</x:t>
        </x:is>
      </x:c>
      <x:c r="J95" s="11" t="n">
        <x:v>1.35</x:v>
      </x:c>
      <x:c r="K95" s="11" t="n">
        <x:v>1.35</x:v>
      </x:c>
      <x:c r="L95" s="11" t="n">
        <x:v>1.29</x:v>
      </x:c>
      <x:c r="M95" s="11" t="n">
        <x:v>1.36</x:v>
      </x:c>
      <x:c r="N95" s="11">
        <x:f>J95-K95</x:f>
      </x:c>
      <x:c r="O95" s="12">
        <x:f>IF(K95=0,0,N95/K95)</x:f>
      </x:c>
      <x:c r="P95" s="11">
        <x:f>J95-L95</x:f>
      </x:c>
      <x:c r="Q95" s="12">
        <x:f>IF(L95=0,0,P95/L95)</x:f>
      </x:c>
      <x:c r="R95" s="11">
        <x:f>J95-M95</x:f>
      </x:c>
      <x:c r="S95" s="11">
        <x:f>IF(I95="Revenue",N95,-N95)</x:f>
      </x:c>
      <x:c r="T95">
        <x:f>IF(S95&gt;=0,"Favourable","Unfavourable")</x:f>
      </x:c>
      <x:c r="U95" s="11" t="n">
        <x:v>0.01</x:v>
      </x:c>
      <x:c r="V95" s="11" t="n">
        <x:v>-0.01</x:v>
      </x:c>
      <x:c r="W95" s="11" t="n">
        <x:v>0</x:v>
      </x:c>
      <x:c r="X95" s="11" t="n">
        <x:v>0</x:v>
      </x:c>
      <x:c r="Y95" s="11">
        <x:f>ROUND(U95+V95+W95+X95-N95,2)</x:f>
      </x:c>
      <x:c r="Z95">
        <x:f>IF(AND(ABS(ROUND(N95,2))&gt;=0.5,ABS(O95)&gt;=0.05),"Yes","No")</x:f>
      </x:c>
      <x:c r="AA95" t="inlineStr">
        <x:is>
          <x:t xml:space="preserve">Closed actual</x:t>
        </x:is>
      </x:c>
      <x:c r="AB95" t="inlineStr">
        <x:is>
          <x:t xml:space="preserve"/>
        </x:is>
      </x:c>
      <x:c r="AC95" t="inlineStr">
        <x:is>
          <x:t xml:space="preserve"/>
        </x:is>
      </x:c>
      <x:c r="AD95" t="inlineStr">
        <x:is>
          <x:t xml:space="preserve">Synthetic - CIE training only</x:t>
        </x:is>
      </x:c>
    </x:row>
    <x:row r="96">
      <x:c r="A96" t="inlineStr">
        <x:is>
          <x:t xml:space="preserve">FIN-0091</x:t>
        </x:is>
      </x:c>
      <x:c r="B96" t="inlineStr">
        <x:is>
          <x:t xml:space="preserve">P08 Aug-2026</x:t>
        </x:is>
      </x:c>
      <x:c r="C96" s="10" t="n">
        <x:v>46265</x:v>
      </x:c>
      <x:c r="D96" t="inlineStr">
        <x:is>
          <x:t xml:space="preserve">Region Atlas</x:t>
        </x:is>
      </x:c>
      <x:c r="E96" t="inlineStr">
        <x:is>
          <x:t xml:space="preserve">Centralis</x:t>
        </x:is>
      </x:c>
      <x:c r="F96" t="inlineStr">
        <x:is>
          <x:t xml:space="preserve">Commercial</x:t>
        </x:is>
      </x:c>
      <x:c r="G96" t="inlineStr">
        <x:is>
          <x:t xml:space="preserve">CE-COM-100</x:t>
        </x:is>
      </x:c>
      <x:c r="H96" t="inlineStr">
        <x:is>
          <x:t xml:space="preserve">Net Revenue</x:t>
        </x:is>
      </x:c>
      <x:c r="I96" t="inlineStr">
        <x:is>
          <x:t xml:space="preserve">Revenue</x:t>
        </x:is>
      </x:c>
      <x:c r="J96" s="11" t="n">
        <x:v>48.7</x:v>
      </x:c>
      <x:c r="K96" s="11" t="n">
        <x:v>49.99</x:v>
      </x:c>
      <x:c r="L96" s="11" t="n">
        <x:v>48.5</x:v>
      </x:c>
      <x:c r="M96" s="11" t="n">
        <x:v>48.37</x:v>
      </x:c>
      <x:c r="N96" s="11">
        <x:f>J96-K96</x:f>
      </x:c>
      <x:c r="O96" s="12">
        <x:f>IF(K96=0,0,N96/K96)</x:f>
      </x:c>
      <x:c r="P96" s="11">
        <x:f>J96-L96</x:f>
      </x:c>
      <x:c r="Q96" s="12">
        <x:f>IF(L96=0,0,P96/L96)</x:f>
      </x:c>
      <x:c r="R96" s="11">
        <x:f>J96-M96</x:f>
      </x:c>
      <x:c r="S96" s="11">
        <x:f>IF(I96="Revenue",N96,-N96)</x:f>
      </x:c>
      <x:c r="T96">
        <x:f>IF(S96&gt;=0,"Favourable","Unfavourable")</x:f>
      </x:c>
      <x:c r="U96" s="11" t="n">
        <x:v>0.67</x:v>
      </x:c>
      <x:c r="V96" s="11" t="n">
        <x:v>-1.49</x:v>
      </x:c>
      <x:c r="W96" s="11" t="n">
        <x:v>-0.18</x:v>
      </x:c>
      <x:c r="X96" s="11" t="n">
        <x:v>-0.29</x:v>
      </x:c>
      <x:c r="Y96" s="11">
        <x:f>ROUND(U96+V96+W96+X96-N96,2)</x:f>
      </x:c>
      <x:c r="Z96">
        <x:f>IF(AND(ABS(ROUND(N96,2))&gt;=0.5,ABS(O96)&gt;=0.05),"Yes","No")</x:f>
      </x:c>
      <x:c r="AA96" t="inlineStr">
        <x:is>
          <x:t xml:space="preserve">Closed actual</x:t>
        </x:is>
      </x:c>
      <x:c r="AB96" t="inlineStr">
        <x:is>
          <x:t xml:space="preserve"/>
        </x:is>
      </x:c>
      <x:c r="AC96" t="inlineStr">
        <x:is>
          <x:t xml:space="preserve"/>
        </x:is>
      </x:c>
      <x:c r="AD96" t="inlineStr">
        <x:is>
          <x:t xml:space="preserve">Synthetic - CIE training only</x:t>
        </x:is>
      </x:c>
    </x:row>
    <x:row r="97">
      <x:c r="A97" t="inlineStr">
        <x:is>
          <x:t xml:space="preserve">FIN-0092</x:t>
        </x:is>
      </x:c>
      <x:c r="B97" t="inlineStr">
        <x:is>
          <x:t xml:space="preserve">P08 Aug-2026</x:t>
        </x:is>
      </x:c>
      <x:c r="C97" s="10" t="n">
        <x:v>46265</x:v>
      </x:c>
      <x:c r="D97" t="inlineStr">
        <x:is>
          <x:t xml:space="preserve">Region Atlas</x:t>
        </x:is>
      </x:c>
      <x:c r="E97" t="inlineStr">
        <x:is>
          <x:t xml:space="preserve">Centralis</x:t>
        </x:is>
      </x:c>
      <x:c r="F97" t="inlineStr">
        <x:is>
          <x:t xml:space="preserve">Finance</x:t>
        </x:is>
      </x:c>
      <x:c r="G97" t="inlineStr">
        <x:is>
          <x:t xml:space="preserve">CE-FIN-900</x:t>
        </x:is>
      </x:c>
      <x:c r="H97" t="inlineStr">
        <x:is>
          <x:t xml:space="preserve">Other Operating Income</x:t>
        </x:is>
      </x:c>
      <x:c r="I97" t="inlineStr">
        <x:is>
          <x:t xml:space="preserve">Revenue</x:t>
        </x:is>
      </x:c>
      <x:c r="J97" s="11" t="n">
        <x:v>1.25</x:v>
      </x:c>
      <x:c r="K97" s="11" t="n">
        <x:v>1.24</x:v>
      </x:c>
      <x:c r="L97" s="11" t="n">
        <x:v>1.2</x:v>
      </x:c>
      <x:c r="M97" s="11" t="n">
        <x:v>1.24</x:v>
      </x:c>
      <x:c r="N97" s="11">
        <x:f>J97-K97</x:f>
      </x:c>
      <x:c r="O97" s="12">
        <x:f>IF(K97=0,0,N97/K97)</x:f>
      </x:c>
      <x:c r="P97" s="11">
        <x:f>J97-L97</x:f>
      </x:c>
      <x:c r="Q97" s="12">
        <x:f>IF(L97=0,0,P97/L97)</x:f>
      </x:c>
      <x:c r="R97" s="11">
        <x:f>J97-M97</x:f>
      </x:c>
      <x:c r="S97" s="11">
        <x:f>IF(I97="Revenue",N97,-N97)</x:f>
      </x:c>
      <x:c r="T97">
        <x:f>IF(S97&gt;=0,"Favourable","Unfavourable")</x:f>
      </x:c>
      <x:c r="U97" s="11" t="n">
        <x:v>0.01</x:v>
      </x:c>
      <x:c r="V97" s="11" t="n">
        <x:v>0.01</x:v>
      </x:c>
      <x:c r="W97" s="11" t="n">
        <x:v>-0.01</x:v>
      </x:c>
      <x:c r="X97" s="11" t="n">
        <x:v>0</x:v>
      </x:c>
      <x:c r="Y97" s="11">
        <x:f>ROUND(U97+V97+W97+X97-N97,2)</x:f>
      </x:c>
      <x:c r="Z97">
        <x:f>IF(AND(ABS(ROUND(N97,2))&gt;=0.5,ABS(O97)&gt;=0.05),"Yes","No")</x:f>
      </x:c>
      <x:c r="AA97" t="inlineStr">
        <x:is>
          <x:t xml:space="preserve">Closed actual</x:t>
        </x:is>
      </x:c>
      <x:c r="AB97" t="inlineStr">
        <x:is>
          <x:t xml:space="preserve"/>
        </x:is>
      </x:c>
      <x:c r="AC97" t="inlineStr">
        <x:is>
          <x:t xml:space="preserve"/>
        </x:is>
      </x:c>
      <x:c r="AD97" t="inlineStr">
        <x:is>
          <x:t xml:space="preserve">Synthetic - CIE training only</x:t>
        </x:is>
      </x:c>
    </x:row>
    <x:row r="98">
      <x:c r="A98" t="inlineStr">
        <x:is>
          <x:t xml:space="preserve">FIN-0093</x:t>
        </x:is>
      </x:c>
      <x:c r="B98" t="inlineStr">
        <x:is>
          <x:t xml:space="preserve">P08 Aug-2026</x:t>
        </x:is>
      </x:c>
      <x:c r="C98" s="10" t="n">
        <x:v>46265</x:v>
      </x:c>
      <x:c r="D98" t="inlineStr">
        <x:is>
          <x:t xml:space="preserve">Region Atlas</x:t>
        </x:is>
      </x:c>
      <x:c r="E98" t="inlineStr">
        <x:is>
          <x:t xml:space="preserve">Centralis</x:t>
        </x:is>
      </x:c>
      <x:c r="F98" t="inlineStr">
        <x:is>
          <x:t xml:space="preserve">Operations</x:t>
        </x:is>
      </x:c>
      <x:c r="G98" t="inlineStr">
        <x:is>
          <x:t xml:space="preserve">CE-OPS-200</x:t>
        </x:is>
      </x:c>
      <x:c r="H98" t="inlineStr">
        <x:is>
          <x:t xml:space="preserve">Cost of Goods Sold</x:t>
        </x:is>
      </x:c>
      <x:c r="I98" t="inlineStr">
        <x:is>
          <x:t xml:space="preserve">Cost</x:t>
        </x:is>
      </x:c>
      <x:c r="J98" s="11" t="n">
        <x:v>17.64</x:v>
      </x:c>
      <x:c r="K98" s="11" t="n">
        <x:v>18.15</x:v>
      </x:c>
      <x:c r="L98" s="11" t="n">
        <x:v>17.82</x:v>
      </x:c>
      <x:c r="M98" s="11" t="n">
        <x:v>17.65</x:v>
      </x:c>
      <x:c r="N98" s="11">
        <x:f>J98-K98</x:f>
      </x:c>
      <x:c r="O98" s="12">
        <x:f>IF(K98=0,0,N98/K98)</x:f>
      </x:c>
      <x:c r="P98" s="11">
        <x:f>J98-L98</x:f>
      </x:c>
      <x:c r="Q98" s="12">
        <x:f>IF(L98=0,0,P98/L98)</x:f>
      </x:c>
      <x:c r="R98" s="11">
        <x:f>J98-M98</x:f>
      </x:c>
      <x:c r="S98" s="11">
        <x:f>IF(I98="Revenue",N98,-N98)</x:f>
      </x:c>
      <x:c r="T98">
        <x:f>IF(S98&gt;=0,"Favourable","Unfavourable")</x:f>
      </x:c>
      <x:c r="U98" s="11" t="n">
        <x:v>-0.37</x:v>
      </x:c>
      <x:c r="V98" s="11" t="n">
        <x:v>-0.13</x:v>
      </x:c>
      <x:c r="W98" s="11" t="n">
        <x:v>-0.13</x:v>
      </x:c>
      <x:c r="X98" s="11" t="n">
        <x:v>0.12</x:v>
      </x:c>
      <x:c r="Y98" s="11">
        <x:f>ROUND(U98+V98+W98+X98-N98,2)</x:f>
      </x:c>
      <x:c r="Z98">
        <x:f>IF(AND(ABS(ROUND(N98,2))&gt;=0.5,ABS(O98)&gt;=0.05),"Yes","No")</x:f>
      </x:c>
      <x:c r="AA98" t="inlineStr">
        <x:is>
          <x:t xml:space="preserve">Closed actual</x:t>
        </x:is>
      </x:c>
      <x:c r="AB98" t="inlineStr">
        <x:is>
          <x:t xml:space="preserve"/>
        </x:is>
      </x:c>
      <x:c r="AC98" t="inlineStr">
        <x:is>
          <x:t xml:space="preserve"/>
        </x:is>
      </x:c>
      <x:c r="AD98" t="inlineStr">
        <x:is>
          <x:t xml:space="preserve">Synthetic - CIE training only</x:t>
        </x:is>
      </x:c>
    </x:row>
    <x:row r="99">
      <x:c r="A99" t="inlineStr">
        <x:is>
          <x:t xml:space="preserve">FIN-0094</x:t>
        </x:is>
      </x:c>
      <x:c r="B99" t="inlineStr">
        <x:is>
          <x:t xml:space="preserve">P08 Aug-2026</x:t>
        </x:is>
      </x:c>
      <x:c r="C99" s="10" t="n">
        <x:v>46265</x:v>
      </x:c>
      <x:c r="D99" t="inlineStr">
        <x:is>
          <x:t xml:space="preserve">Region Atlas</x:t>
        </x:is>
      </x:c>
      <x:c r="E99" t="inlineStr">
        <x:is>
          <x:t xml:space="preserve">Centralis</x:t>
        </x:is>
      </x:c>
      <x:c r="F99" t="inlineStr">
        <x:is>
          <x:t xml:space="preserve">Supply Chain</x:t>
        </x:is>
      </x:c>
      <x:c r="G99" t="inlineStr">
        <x:is>
          <x:t xml:space="preserve">CE-SCM-300</x:t>
        </x:is>
      </x:c>
      <x:c r="H99" t="inlineStr">
        <x:is>
          <x:t xml:space="preserve">Logistics &amp; Distribution</x:t>
        </x:is>
      </x:c>
      <x:c r="I99" t="inlineStr">
        <x:is>
          <x:t xml:space="preserve">Cost</x:t>
        </x:is>
      </x:c>
      <x:c r="J99" s="11" t="n">
        <x:v>4.58</x:v>
      </x:c>
      <x:c r="K99" s="11" t="n">
        <x:v>3.89</x:v>
      </x:c>
      <x:c r="L99" s="11" t="n">
        <x:v>3.78</x:v>
      </x:c>
      <x:c r="M99" s="11" t="n">
        <x:v>4.49</x:v>
      </x:c>
      <x:c r="N99" s="11">
        <x:f>J99-K99</x:f>
      </x:c>
      <x:c r="O99" s="12">
        <x:f>IF(K99=0,0,N99/K99)</x:f>
      </x:c>
      <x:c r="P99" s="11">
        <x:f>J99-L99</x:f>
      </x:c>
      <x:c r="Q99" s="12">
        <x:f>IF(L99=0,0,P99/L99)</x:f>
      </x:c>
      <x:c r="R99" s="11">
        <x:f>J99-M99</x:f>
      </x:c>
      <x:c r="S99" s="11">
        <x:f>IF(I99="Revenue",N99,-N99)</x:f>
      </x:c>
      <x:c r="T99">
        <x:f>IF(S99&gt;=0,"Favourable","Unfavourable")</x:f>
      </x:c>
      <x:c r="U99" s="11" t="n">
        <x:v>0.04</x:v>
      </x:c>
      <x:c r="V99" s="11" t="n">
        <x:v>0.68</x:v>
      </x:c>
      <x:c r="W99" s="11" t="n">
        <x:v>-0.03</x:v>
      </x:c>
      <x:c r="X99" s="11" t="n">
        <x:v>0</x:v>
      </x:c>
      <x:c r="Y99" s="11">
        <x:f>ROUND(U99+V99+W99+X99-N99,2)</x:f>
      </x:c>
      <x:c r="Z99">
        <x:f>IF(AND(ABS(ROUND(N99,2))&gt;=0.5,ABS(O99)&gt;=0.05),"Yes","No")</x:f>
      </x:c>
      <x:c r="AA99" t="inlineStr">
        <x:is>
          <x:t xml:space="preserve">Closed actual</x:t>
        </x:is>
      </x:c>
      <x:c r="AB99" t="inlineStr">
        <x:is>
          <x:t xml:space="preserve">Freight and fuel rate increases (fictional carrier contract)</x:t>
        </x:is>
      </x:c>
      <x:c r="AC99" t="inlineStr">
        <x:is>
          <x:t xml:space="preserve"/>
        </x:is>
      </x:c>
      <x:c r="AD99" t="inlineStr">
        <x:is>
          <x:t xml:space="preserve">Synthetic - CIE training only</x:t>
        </x:is>
      </x:c>
    </x:row>
    <x:row r="100">
      <x:c r="A100" t="inlineStr">
        <x:is>
          <x:t xml:space="preserve">FIN-0095</x:t>
        </x:is>
      </x:c>
      <x:c r="B100" t="inlineStr">
        <x:is>
          <x:t xml:space="preserve">P08 Aug-2026</x:t>
        </x:is>
      </x:c>
      <x:c r="C100" s="10" t="n">
        <x:v>46265</x:v>
      </x:c>
      <x:c r="D100" t="inlineStr">
        <x:is>
          <x:t xml:space="preserve">Region Atlas</x:t>
        </x:is>
      </x:c>
      <x:c r="E100" t="inlineStr">
        <x:is>
          <x:t xml:space="preserve">Centralis</x:t>
        </x:is>
      </x:c>
      <x:c r="F100" t="inlineStr">
        <x:is>
          <x:t xml:space="preserve">Marketing</x:t>
        </x:is>
      </x:c>
      <x:c r="G100" t="inlineStr">
        <x:is>
          <x:t xml:space="preserve">CE-MKT-400</x:t>
        </x:is>
      </x:c>
      <x:c r="H100" t="inlineStr">
        <x:is>
          <x:t xml:space="preserve">Trade Marketing Investment</x:t>
        </x:is>
      </x:c>
      <x:c r="I100" t="inlineStr">
        <x:is>
          <x:t xml:space="preserve">Cost</x:t>
        </x:is>
      </x:c>
      <x:c r="J100" s="11" t="n">
        <x:v>4.65</x:v>
      </x:c>
      <x:c r="K100" s="11" t="n">
        <x:v>4.72</x:v>
      </x:c>
      <x:c r="L100" s="11" t="n">
        <x:v>4.41</x:v>
      </x:c>
      <x:c r="M100" s="11" t="n">
        <x:v>4.67</x:v>
      </x:c>
      <x:c r="N100" s="11">
        <x:f>J100-K100</x:f>
      </x:c>
      <x:c r="O100" s="12">
        <x:f>IF(K100=0,0,N100/K100)</x:f>
      </x:c>
      <x:c r="P100" s="11">
        <x:f>J100-L100</x:f>
      </x:c>
      <x:c r="Q100" s="12">
        <x:f>IF(L100=0,0,P100/L100)</x:f>
      </x:c>
      <x:c r="R100" s="11">
        <x:f>J100-M100</x:f>
      </x:c>
      <x:c r="S100" s="11">
        <x:f>IF(I100="Revenue",N100,-N100)</x:f>
      </x:c>
      <x:c r="T100">
        <x:f>IF(S100&gt;=0,"Favourable","Unfavourable")</x:f>
      </x:c>
      <x:c r="U100" s="11" t="n">
        <x:v>-0.13</x:v>
      </x:c>
      <x:c r="V100" s="11" t="n">
        <x:v>0.05</x:v>
      </x:c>
      <x:c r="W100" s="11" t="n">
        <x:v>0.03</x:v>
      </x:c>
      <x:c r="X100" s="11" t="n">
        <x:v>-0.02</x:v>
      </x:c>
      <x:c r="Y100" s="11">
        <x:f>ROUND(U100+V100+W100+X100-N100,2)</x:f>
      </x:c>
      <x:c r="Z100">
        <x:f>IF(AND(ABS(ROUND(N100,2))&gt;=0.5,ABS(O100)&gt;=0.05),"Yes","No")</x:f>
      </x:c>
      <x:c r="AA100" t="inlineStr">
        <x:is>
          <x:t xml:space="preserve">Closed actual</x:t>
        </x:is>
      </x:c>
      <x:c r="AB100" t="inlineStr">
        <x:is>
          <x:t xml:space="preserve"/>
        </x:is>
      </x:c>
      <x:c r="AC100" t="inlineStr">
        <x:is>
          <x:t xml:space="preserve"/>
        </x:is>
      </x:c>
      <x:c r="AD100" t="inlineStr">
        <x:is>
          <x:t xml:space="preserve">Synthetic - CIE training only</x:t>
        </x:is>
      </x:c>
    </x:row>
    <x:row r="101">
      <x:c r="A101" t="inlineStr">
        <x:is>
          <x:t xml:space="preserve">FIN-0096</x:t>
        </x:is>
      </x:c>
      <x:c r="B101" t="inlineStr">
        <x:is>
          <x:t xml:space="preserve">P08 Aug-2026</x:t>
        </x:is>
      </x:c>
      <x:c r="C101" s="10" t="n">
        <x:v>46265</x:v>
      </x:c>
      <x:c r="D101" t="inlineStr">
        <x:is>
          <x:t xml:space="preserve">Region Atlas</x:t>
        </x:is>
      </x:c>
      <x:c r="E101" t="inlineStr">
        <x:is>
          <x:t xml:space="preserve">Centralis</x:t>
        </x:is>
      </x:c>
      <x:c r="F101" t="inlineStr">
        <x:is>
          <x:t xml:space="preserve">Commercial</x:t>
        </x:is>
      </x:c>
      <x:c r="G101" t="inlineStr">
        <x:is>
          <x:t xml:space="preserve">CE-COM-110</x:t>
        </x:is>
      </x:c>
      <x:c r="H101" t="inlineStr">
        <x:is>
          <x:t xml:space="preserve">Sales Force Cost</x:t>
        </x:is>
      </x:c>
      <x:c r="I101" t="inlineStr">
        <x:is>
          <x:t xml:space="preserve">Cost</x:t>
        </x:is>
      </x:c>
      <x:c r="J101" s="11" t="n">
        <x:v>2.85</x:v>
      </x:c>
      <x:c r="K101" s="11" t="n">
        <x:v>2.87</x:v>
      </x:c>
      <x:c r="L101" s="11" t="n">
        <x:v>2.68</x:v>
      </x:c>
      <x:c r="M101" s="11" t="n">
        <x:v>2.93</x:v>
      </x:c>
      <x:c r="N101" s="11">
        <x:f>J101-K101</x:f>
      </x:c>
      <x:c r="O101" s="12">
        <x:f>IF(K101=0,0,N101/K101)</x:f>
      </x:c>
      <x:c r="P101" s="11">
        <x:f>J101-L101</x:f>
      </x:c>
      <x:c r="Q101" s="12">
        <x:f>IF(L101=0,0,P101/L101)</x:f>
      </x:c>
      <x:c r="R101" s="11">
        <x:f>J101-M101</x:f>
      </x:c>
      <x:c r="S101" s="11">
        <x:f>IF(I101="Revenue",N101,-N101)</x:f>
      </x:c>
      <x:c r="T101">
        <x:f>IF(S101&gt;=0,"Favourable","Unfavourable")</x:f>
      </x:c>
      <x:c r="U101" s="11" t="n">
        <x:v>-0.03</x:v>
      </x:c>
      <x:c r="V101" s="11" t="n">
        <x:v>-0.01</x:v>
      </x:c>
      <x:c r="W101" s="11" t="n">
        <x:v>0.02</x:v>
      </x:c>
      <x:c r="X101" s="11" t="n">
        <x:v>0</x:v>
      </x:c>
      <x:c r="Y101" s="11">
        <x:f>ROUND(U101+V101+W101+X101-N101,2)</x:f>
      </x:c>
      <x:c r="Z101">
        <x:f>IF(AND(ABS(ROUND(N101,2))&gt;=0.5,ABS(O101)&gt;=0.05),"Yes","No")</x:f>
      </x:c>
      <x:c r="AA101" t="inlineStr">
        <x:is>
          <x:t xml:space="preserve">Closed actual</x:t>
        </x:is>
      </x:c>
      <x:c r="AB101" t="inlineStr">
        <x:is>
          <x:t xml:space="preserve"/>
        </x:is>
      </x:c>
      <x:c r="AC101" t="inlineStr">
        <x:is>
          <x:t xml:space="preserve"/>
        </x:is>
      </x:c>
      <x:c r="AD101" t="inlineStr">
        <x:is>
          <x:t xml:space="preserve">Synthetic - CIE training only</x:t>
        </x:is>
      </x:c>
    </x:row>
    <x:row r="102">
      <x:c r="A102" t="inlineStr">
        <x:is>
          <x:t xml:space="preserve">FIN-0097</x:t>
        </x:is>
      </x:c>
      <x:c r="B102" t="inlineStr">
        <x:is>
          <x:t xml:space="preserve">P08 Aug-2026</x:t>
        </x:is>
      </x:c>
      <x:c r="C102" s="10" t="n">
        <x:v>46265</x:v>
      </x:c>
      <x:c r="D102" t="inlineStr">
        <x:is>
          <x:t xml:space="preserve">Region Atlas</x:t>
        </x:is>
      </x:c>
      <x:c r="E102" t="inlineStr">
        <x:is>
          <x:t xml:space="preserve">Centralis</x:t>
        </x:is>
      </x:c>
      <x:c r="F102" t="inlineStr">
        <x:is>
          <x:t xml:space="preserve">Digital &amp; IT</x:t>
        </x:is>
      </x:c>
      <x:c r="G102" t="inlineStr">
        <x:is>
          <x:t xml:space="preserve">CE-DIT-500</x:t>
        </x:is>
      </x:c>
      <x:c r="H102" t="inlineStr">
        <x:is>
          <x:t xml:space="preserve">Digital &amp; IT Cost</x:t>
        </x:is>
      </x:c>
      <x:c r="I102" t="inlineStr">
        <x:is>
          <x:t xml:space="preserve">Cost</x:t>
        </x:is>
      </x:c>
      <x:c r="J102" s="11" t="n">
        <x:v>2.04</x:v>
      </x:c>
      <x:c r="K102" s="11" t="n">
        <x:v>2.04</x:v>
      </x:c>
      <x:c r="L102" s="11" t="n">
        <x:v>1.94</x:v>
      </x:c>
      <x:c r="M102" s="11" t="n">
        <x:v>2.05</x:v>
      </x:c>
      <x:c r="N102" s="11">
        <x:f>J102-K102</x:f>
      </x:c>
      <x:c r="O102" s="12">
        <x:f>IF(K102=0,0,N102/K102)</x:f>
      </x:c>
      <x:c r="P102" s="11">
        <x:f>J102-L102</x:f>
      </x:c>
      <x:c r="Q102" s="12">
        <x:f>IF(L102=0,0,P102/L102)</x:f>
      </x:c>
      <x:c r="R102" s="11">
        <x:f>J102-M102</x:f>
      </x:c>
      <x:c r="S102" s="11">
        <x:f>IF(I102="Revenue",N102,-N102)</x:f>
      </x:c>
      <x:c r="T102">
        <x:f>IF(S102&gt;=0,"Favourable","Unfavourable")</x:f>
      </x:c>
      <x:c r="U102" s="11" t="n">
        <x:v>-0.02</x:v>
      </x:c>
      <x:c r="V102" s="11" t="n">
        <x:v>0.01</x:v>
      </x:c>
      <x:c r="W102" s="11" t="n">
        <x:v>0.01</x:v>
      </x:c>
      <x:c r="X102" s="11" t="n">
        <x:v>0</x:v>
      </x:c>
      <x:c r="Y102" s="11">
        <x:f>ROUND(U102+V102+W102+X102-N102,2)</x:f>
      </x:c>
      <x:c r="Z102">
        <x:f>IF(AND(ABS(ROUND(N102,2))&gt;=0.5,ABS(O102)&gt;=0.05),"Yes","No")</x:f>
      </x:c>
      <x:c r="AA102" t="inlineStr">
        <x:is>
          <x:t xml:space="preserve">Closed actual</x:t>
        </x:is>
      </x:c>
      <x:c r="AB102" t="inlineStr">
        <x:is>
          <x:t xml:space="preserve"/>
        </x:is>
      </x:c>
      <x:c r="AC102" t="inlineStr">
        <x:is>
          <x:t xml:space="preserve"/>
        </x:is>
      </x:c>
      <x:c r="AD102" t="inlineStr">
        <x:is>
          <x:t xml:space="preserve">Synthetic - CIE training only</x:t>
        </x:is>
      </x:c>
    </x:row>
    <x:row r="103">
      <x:c r="A103" t="inlineStr">
        <x:is>
          <x:t xml:space="preserve">FIN-0098</x:t>
        </x:is>
      </x:c>
      <x:c r="B103" t="inlineStr">
        <x:is>
          <x:t xml:space="preserve">P08 Aug-2026</x:t>
        </x:is>
      </x:c>
      <x:c r="C103" s="10" t="n">
        <x:v>46265</x:v>
      </x:c>
      <x:c r="D103" t="inlineStr">
        <x:is>
          <x:t xml:space="preserve">Region Atlas</x:t>
        </x:is>
      </x:c>
      <x:c r="E103" t="inlineStr">
        <x:is>
          <x:t xml:space="preserve">Centralis</x:t>
        </x:is>
      </x:c>
      <x:c r="F103" t="inlineStr">
        <x:is>
          <x:t xml:space="preserve">Finance</x:t>
        </x:is>
      </x:c>
      <x:c r="G103" t="inlineStr">
        <x:is>
          <x:t xml:space="preserve">CE-FIN-600</x:t>
        </x:is>
      </x:c>
      <x:c r="H103" t="inlineStr">
        <x:is>
          <x:t xml:space="preserve">General &amp; Admin Cost</x:t>
        </x:is>
      </x:c>
      <x:c r="I103" t="inlineStr">
        <x:is>
          <x:t xml:space="preserve">Cost</x:t>
        </x:is>
      </x:c>
      <x:c r="J103" s="11" t="n">
        <x:v>1.64</x:v>
      </x:c>
      <x:c r="K103" s="11" t="n">
        <x:v>1.6</x:v>
      </x:c>
      <x:c r="L103" s="11" t="n">
        <x:v>1.49</x:v>
      </x:c>
      <x:c r="M103" s="11" t="n">
        <x:v>1.64</x:v>
      </x:c>
      <x:c r="N103" s="11">
        <x:f>J103-K103</x:f>
      </x:c>
      <x:c r="O103" s="12">
        <x:f>IF(K103=0,0,N103/K103)</x:f>
      </x:c>
      <x:c r="P103" s="11">
        <x:f>J103-L103</x:f>
      </x:c>
      <x:c r="Q103" s="12">
        <x:f>IF(L103=0,0,P103/L103)</x:f>
      </x:c>
      <x:c r="R103" s="11">
        <x:f>J103-M103</x:f>
      </x:c>
      <x:c r="S103" s="11">
        <x:f>IF(I103="Revenue",N103,-N103)</x:f>
      </x:c>
      <x:c r="T103">
        <x:f>IF(S103&gt;=0,"Favourable","Unfavourable")</x:f>
      </x:c>
      <x:c r="U103" s="11" t="n">
        <x:v>0.03</x:v>
      </x:c>
      <x:c r="V103" s="11" t="n">
        <x:v>0.02</x:v>
      </x:c>
      <x:c r="W103" s="11" t="n">
        <x:v>0</x:v>
      </x:c>
      <x:c r="X103" s="11" t="n">
        <x:v>-0.01</x:v>
      </x:c>
      <x:c r="Y103" s="11">
        <x:f>ROUND(U103+V103+W103+X103-N103,2)</x:f>
      </x:c>
      <x:c r="Z103">
        <x:f>IF(AND(ABS(ROUND(N103,2))&gt;=0.5,ABS(O103)&gt;=0.05),"Yes","No")</x:f>
      </x:c>
      <x:c r="AA103" t="inlineStr">
        <x:is>
          <x:t xml:space="preserve">Closed actual</x:t>
        </x:is>
      </x:c>
      <x:c r="AB103" t="inlineStr">
        <x:is>
          <x:t xml:space="preserve"/>
        </x:is>
      </x:c>
      <x:c r="AC103" t="inlineStr">
        <x:is>
          <x:t xml:space="preserve"/>
        </x:is>
      </x:c>
      <x:c r="AD103" t="inlineStr">
        <x:is>
          <x:t xml:space="preserve">Synthetic - CIE training only</x:t>
        </x:is>
      </x:c>
    </x:row>
    <x:row r="104">
      <x:c r="A104" t="inlineStr">
        <x:is>
          <x:t xml:space="preserve">FIN-0099</x:t>
        </x:is>
      </x:c>
      <x:c r="B104" t="inlineStr">
        <x:is>
          <x:t xml:space="preserve">P08 Aug-2026</x:t>
        </x:is>
      </x:c>
      <x:c r="C104" s="10" t="n">
        <x:v>46265</x:v>
      </x:c>
      <x:c r="D104" t="inlineStr">
        <x:is>
          <x:t xml:space="preserve">Region Atlas</x:t>
        </x:is>
      </x:c>
      <x:c r="E104" t="inlineStr">
        <x:is>
          <x:t xml:space="preserve">Centralis</x:t>
        </x:is>
      </x:c>
      <x:c r="F104" t="inlineStr">
        <x:is>
          <x:t xml:space="preserve">Operations</x:t>
        </x:is>
      </x:c>
      <x:c r="G104" t="inlineStr">
        <x:is>
          <x:t xml:space="preserve">CE-OPS-210</x:t>
        </x:is>
      </x:c>
      <x:c r="H104" t="inlineStr">
        <x:is>
          <x:t xml:space="preserve">Facilities Cost</x:t>
        </x:is>
      </x:c>
      <x:c r="I104" t="inlineStr">
        <x:is>
          <x:t xml:space="preserve">Cost</x:t>
        </x:is>
      </x:c>
      <x:c r="J104" s="11" t="n">
        <x:v>1</x:v>
      </x:c>
      <x:c r="K104" s="11" t="n">
        <x:v>0.98</x:v>
      </x:c>
      <x:c r="L104" s="11" t="n">
        <x:v>0.93</x:v>
      </x:c>
      <x:c r="M104" s="11" t="n">
        <x:v>0.99</x:v>
      </x:c>
      <x:c r="N104" s="11">
        <x:f>J104-K104</x:f>
      </x:c>
      <x:c r="O104" s="12">
        <x:f>IF(K104=0,0,N104/K104)</x:f>
      </x:c>
      <x:c r="P104" s="11">
        <x:f>J104-L104</x:f>
      </x:c>
      <x:c r="Q104" s="12">
        <x:f>IF(L104=0,0,P104/L104)</x:f>
      </x:c>
      <x:c r="R104" s="11">
        <x:f>J104-M104</x:f>
      </x:c>
      <x:c r="S104" s="11">
        <x:f>IF(I104="Revenue",N104,-N104)</x:f>
      </x:c>
      <x:c r="T104">
        <x:f>IF(S104&gt;=0,"Favourable","Unfavourable")</x:f>
      </x:c>
      <x:c r="U104" s="11" t="n">
        <x:v>0.01</x:v>
      </x:c>
      <x:c r="V104" s="11" t="n">
        <x:v>0</x:v>
      </x:c>
      <x:c r="W104" s="11" t="n">
        <x:v>0.01</x:v>
      </x:c>
      <x:c r="X104" s="11" t="n">
        <x:v>0</x:v>
      </x:c>
      <x:c r="Y104" s="11">
        <x:f>ROUND(U104+V104+W104+X104-N104,2)</x:f>
      </x:c>
      <x:c r="Z104">
        <x:f>IF(AND(ABS(ROUND(N104,2))&gt;=0.5,ABS(O104)&gt;=0.05),"Yes","No")</x:f>
      </x:c>
      <x:c r="AA104" t="inlineStr">
        <x:is>
          <x:t xml:space="preserve">Closed actual</x:t>
        </x:is>
      </x:c>
      <x:c r="AB104" t="inlineStr">
        <x:is>
          <x:t xml:space="preserve"/>
        </x:is>
      </x:c>
      <x:c r="AC104" t="inlineStr">
        <x:is>
          <x:t xml:space="preserve"/>
        </x:is>
      </x:c>
      <x:c r="AD104" t="inlineStr">
        <x:is>
          <x:t xml:space="preserve">Synthetic - CIE training only</x:t>
        </x:is>
      </x:c>
    </x:row>
    <x:row r="105">
      <x:c r="A105" t="inlineStr">
        <x:is>
          <x:t xml:space="preserve">FIN-0100</x:t>
        </x:is>
      </x:c>
      <x:c r="B105" t="inlineStr">
        <x:is>
          <x:t xml:space="preserve">P08 Aug-2026</x:t>
        </x:is>
      </x:c>
      <x:c r="C105" s="10" t="n">
        <x:v>46265</x:v>
      </x:c>
      <x:c r="D105" t="inlineStr">
        <x:is>
          <x:t xml:space="preserve">Region Atlas</x:t>
        </x:is>
      </x:c>
      <x:c r="E105" t="inlineStr">
        <x:is>
          <x:t xml:space="preserve">Islemark</x:t>
        </x:is>
      </x:c>
      <x:c r="F105" t="inlineStr">
        <x:is>
          <x:t xml:space="preserve">Commercial</x:t>
        </x:is>
      </x:c>
      <x:c r="G105" t="inlineStr">
        <x:is>
          <x:t xml:space="preserve">IM-COM-100</x:t>
        </x:is>
      </x:c>
      <x:c r="H105" t="inlineStr">
        <x:is>
          <x:t xml:space="preserve">Net Revenue</x:t>
        </x:is>
      </x:c>
      <x:c r="I105" t="inlineStr">
        <x:is>
          <x:t xml:space="preserve">Revenue</x:t>
        </x:is>
      </x:c>
      <x:c r="J105" s="11" t="n">
        <x:v>36.01</x:v>
      </x:c>
      <x:c r="K105" s="11" t="n">
        <x:v>36.97</x:v>
      </x:c>
      <x:c r="L105" s="11" t="n">
        <x:v>36.3</x:v>
      </x:c>
      <x:c r="M105" s="11" t="n">
        <x:v>35.1</x:v>
      </x:c>
      <x:c r="N105" s="11">
        <x:f>J105-K105</x:f>
      </x:c>
      <x:c r="O105" s="12">
        <x:f>IF(K105=0,0,N105/K105)</x:f>
      </x:c>
      <x:c r="P105" s="11">
        <x:f>J105-L105</x:f>
      </x:c>
      <x:c r="Q105" s="12">
        <x:f>IF(L105=0,0,P105/L105)</x:f>
      </x:c>
      <x:c r="R105" s="11">
        <x:f>J105-M105</x:f>
      </x:c>
      <x:c r="S105" s="11">
        <x:f>IF(I105="Revenue",N105,-N105)</x:f>
      </x:c>
      <x:c r="T105">
        <x:f>IF(S105&gt;=0,"Favourable","Unfavourable")</x:f>
      </x:c>
      <x:c r="U105" s="11" t="n">
        <x:v>-0.9399999999999999</x:v>
      </x:c>
      <x:c r="V105" s="11" t="n">
        <x:v>-0.08</x:v>
      </x:c>
      <x:c r="W105" s="11" t="n">
        <x:v>0.13</x:v>
      </x:c>
      <x:c r="X105" s="11" t="n">
        <x:v>-0.07000000000000001</x:v>
      </x:c>
      <x:c r="Y105" s="11">
        <x:f>ROUND(U105+V105+W105+X105-N105,2)</x:f>
      </x:c>
      <x:c r="Z105">
        <x:f>IF(AND(ABS(ROUND(N105,2))&gt;=0.5,ABS(O105)&gt;=0.05),"Yes","No")</x:f>
      </x:c>
      <x:c r="AA105" t="inlineStr">
        <x:is>
          <x:t xml:space="preserve">Closed actual</x:t>
        </x:is>
      </x:c>
      <x:c r="AB105" t="inlineStr">
        <x:is>
          <x:t xml:space="preserve"/>
        </x:is>
      </x:c>
      <x:c r="AC105" t="inlineStr">
        <x:is>
          <x:t xml:space="preserve"/>
        </x:is>
      </x:c>
      <x:c r="AD105" t="inlineStr">
        <x:is>
          <x:t xml:space="preserve">Synthetic - CIE training only</x:t>
        </x:is>
      </x:c>
    </x:row>
    <x:row r="106">
      <x:c r="A106" t="inlineStr">
        <x:is>
          <x:t xml:space="preserve">FIN-0101</x:t>
        </x:is>
      </x:c>
      <x:c r="B106" t="inlineStr">
        <x:is>
          <x:t xml:space="preserve">P08 Aug-2026</x:t>
        </x:is>
      </x:c>
      <x:c r="C106" s="10" t="n">
        <x:v>46265</x:v>
      </x:c>
      <x:c r="D106" t="inlineStr">
        <x:is>
          <x:t xml:space="preserve">Region Atlas</x:t>
        </x:is>
      </x:c>
      <x:c r="E106" t="inlineStr">
        <x:is>
          <x:t xml:space="preserve">Islemark</x:t>
        </x:is>
      </x:c>
      <x:c r="F106" t="inlineStr">
        <x:is>
          <x:t xml:space="preserve">Finance</x:t>
        </x:is>
      </x:c>
      <x:c r="G106" t="inlineStr">
        <x:is>
          <x:t xml:space="preserve">IM-FIN-900</x:t>
        </x:is>
      </x:c>
      <x:c r="H106" t="inlineStr">
        <x:is>
          <x:t xml:space="preserve">Other Operating Income</x:t>
        </x:is>
      </x:c>
      <x:c r="I106" t="inlineStr">
        <x:is>
          <x:t xml:space="preserve">Revenue</x:t>
        </x:is>
      </x:c>
      <x:c r="J106" s="11" t="n">
        <x:v>0.9</x:v>
      </x:c>
      <x:c r="K106" s="11" t="n">
        <x:v>0.92</x:v>
      </x:c>
      <x:c r="L106" s="11" t="n">
        <x:v>0.88</x:v>
      </x:c>
      <x:c r="M106" s="11" t="n">
        <x:v>0.89</x:v>
      </x:c>
      <x:c r="N106" s="11">
        <x:f>J106-K106</x:f>
      </x:c>
      <x:c r="O106" s="12">
        <x:f>IF(K106=0,0,N106/K106)</x:f>
      </x:c>
      <x:c r="P106" s="11">
        <x:f>J106-L106</x:f>
      </x:c>
      <x:c r="Q106" s="12">
        <x:f>IF(L106=0,0,P106/L106)</x:f>
      </x:c>
      <x:c r="R106" s="11">
        <x:f>J106-M106</x:f>
      </x:c>
      <x:c r="S106" s="11">
        <x:f>IF(I106="Revenue",N106,-N106)</x:f>
      </x:c>
      <x:c r="T106">
        <x:f>IF(S106&gt;=0,"Favourable","Unfavourable")</x:f>
      </x:c>
      <x:c r="U106" s="11" t="n">
        <x:v>-0.01</x:v>
      </x:c>
      <x:c r="V106" s="11" t="n">
        <x:v>0</x:v>
      </x:c>
      <x:c r="W106" s="11" t="n">
        <x:v>-0.01</x:v>
      </x:c>
      <x:c r="X106" s="11" t="n">
        <x:v>0</x:v>
      </x:c>
      <x:c r="Y106" s="11">
        <x:f>ROUND(U106+V106+W106+X106-N106,2)</x:f>
      </x:c>
      <x:c r="Z106">
        <x:f>IF(AND(ABS(ROUND(N106,2))&gt;=0.5,ABS(O106)&gt;=0.05),"Yes","No")</x:f>
      </x:c>
      <x:c r="AA106" t="inlineStr">
        <x:is>
          <x:t xml:space="preserve">Closed actual</x:t>
        </x:is>
      </x:c>
      <x:c r="AB106" t="inlineStr">
        <x:is>
          <x:t xml:space="preserve"/>
        </x:is>
      </x:c>
      <x:c r="AC106" t="inlineStr">
        <x:is>
          <x:t xml:space="preserve"/>
        </x:is>
      </x:c>
      <x:c r="AD106" t="inlineStr">
        <x:is>
          <x:t xml:space="preserve">Synthetic - CIE training only</x:t>
        </x:is>
      </x:c>
    </x:row>
    <x:row r="107">
      <x:c r="A107" t="inlineStr">
        <x:is>
          <x:t xml:space="preserve">FIN-0102</x:t>
        </x:is>
      </x:c>
      <x:c r="B107" t="inlineStr">
        <x:is>
          <x:t xml:space="preserve">P08 Aug-2026</x:t>
        </x:is>
      </x:c>
      <x:c r="C107" s="10" t="n">
        <x:v>46265</x:v>
      </x:c>
      <x:c r="D107" t="inlineStr">
        <x:is>
          <x:t xml:space="preserve">Region Atlas</x:t>
        </x:is>
      </x:c>
      <x:c r="E107" t="inlineStr">
        <x:is>
          <x:t xml:space="preserve">Islemark</x:t>
        </x:is>
      </x:c>
      <x:c r="F107" t="inlineStr">
        <x:is>
          <x:t xml:space="preserve">Operations</x:t>
        </x:is>
      </x:c>
      <x:c r="G107" t="inlineStr">
        <x:is>
          <x:t xml:space="preserve">IM-OPS-200</x:t>
        </x:is>
      </x:c>
      <x:c r="H107" t="inlineStr">
        <x:is>
          <x:t xml:space="preserve">Cost of Goods Sold</x:t>
        </x:is>
      </x:c>
      <x:c r="I107" t="inlineStr">
        <x:is>
          <x:t xml:space="preserve">Cost</x:t>
        </x:is>
      </x:c>
      <x:c r="J107" s="11" t="n">
        <x:v>13.93</x:v>
      </x:c>
      <x:c r="K107" s="11" t="n">
        <x:v>14.37</x:v>
      </x:c>
      <x:c r="L107" s="11" t="n">
        <x:v>13.9</x:v>
      </x:c>
      <x:c r="M107" s="11" t="n">
        <x:v>14.02</x:v>
      </x:c>
      <x:c r="N107" s="11">
        <x:f>J107-K107</x:f>
      </x:c>
      <x:c r="O107" s="12">
        <x:f>IF(K107=0,0,N107/K107)</x:f>
      </x:c>
      <x:c r="P107" s="11">
        <x:f>J107-L107</x:f>
      </x:c>
      <x:c r="Q107" s="12">
        <x:f>IF(L107=0,0,P107/L107)</x:f>
      </x:c>
      <x:c r="R107" s="11">
        <x:f>J107-M107</x:f>
      </x:c>
      <x:c r="S107" s="11">
        <x:f>IF(I107="Revenue",N107,-N107)</x:f>
      </x:c>
      <x:c r="T107">
        <x:f>IF(S107&gt;=0,"Favourable","Unfavourable")</x:f>
      </x:c>
      <x:c r="U107" s="11" t="n">
        <x:v>-0.09</x:v>
      </x:c>
      <x:c r="V107" s="11" t="n">
        <x:v>-0.36</x:v>
      </x:c>
      <x:c r="W107" s="11" t="n">
        <x:v>-0.03</x:v>
      </x:c>
      <x:c r="X107" s="11" t="n">
        <x:v>0.04</x:v>
      </x:c>
      <x:c r="Y107" s="11">
        <x:f>ROUND(U107+V107+W107+X107-N107,2)</x:f>
      </x:c>
      <x:c r="Z107">
        <x:f>IF(AND(ABS(ROUND(N107,2))&gt;=0.5,ABS(O107)&gt;=0.05),"Yes","No")</x:f>
      </x:c>
      <x:c r="AA107" t="inlineStr">
        <x:is>
          <x:t xml:space="preserve">Closed actual</x:t>
        </x:is>
      </x:c>
      <x:c r="AB107" t="inlineStr">
        <x:is>
          <x:t xml:space="preserve"/>
        </x:is>
      </x:c>
      <x:c r="AC107" t="inlineStr">
        <x:is>
          <x:t xml:space="preserve"/>
        </x:is>
      </x:c>
      <x:c r="AD107" t="inlineStr">
        <x:is>
          <x:t xml:space="preserve">Synthetic - CIE training only</x:t>
        </x:is>
      </x:c>
    </x:row>
    <x:row r="108">
      <x:c r="A108" t="inlineStr">
        <x:is>
          <x:t xml:space="preserve">FIN-0103</x:t>
        </x:is>
      </x:c>
      <x:c r="B108" t="inlineStr">
        <x:is>
          <x:t xml:space="preserve">P08 Aug-2026</x:t>
        </x:is>
      </x:c>
      <x:c r="C108" s="10" t="n">
        <x:v>46265</x:v>
      </x:c>
      <x:c r="D108" t="inlineStr">
        <x:is>
          <x:t xml:space="preserve">Region Atlas</x:t>
        </x:is>
      </x:c>
      <x:c r="E108" t="inlineStr">
        <x:is>
          <x:t xml:space="preserve">Islemark</x:t>
        </x:is>
      </x:c>
      <x:c r="F108" t="inlineStr">
        <x:is>
          <x:t xml:space="preserve">Supply Chain</x:t>
        </x:is>
      </x:c>
      <x:c r="G108" t="inlineStr">
        <x:is>
          <x:t xml:space="preserve">IM-SCM-300</x:t>
        </x:is>
      </x:c>
      <x:c r="H108" t="inlineStr">
        <x:is>
          <x:t xml:space="preserve">Logistics &amp; Distribution</x:t>
        </x:is>
      </x:c>
      <x:c r="I108" t="inlineStr">
        <x:is>
          <x:t xml:space="preserve">Cost</x:t>
        </x:is>
      </x:c>
      <x:c r="J108" s="11" t="n">
        <x:v>2.82</x:v>
      </x:c>
      <x:c r="K108" s="11" t="n">
        <x:v>2.82</x:v>
      </x:c>
      <x:c r="L108" s="11" t="n">
        <x:v>2.71</x:v>
      </x:c>
      <x:c r="M108" s="11" t="n">
        <x:v>2.85</x:v>
      </x:c>
      <x:c r="N108" s="11">
        <x:f>J108-K108</x:f>
      </x:c>
      <x:c r="O108" s="12">
        <x:f>IF(K108=0,0,N108/K108)</x:f>
      </x:c>
      <x:c r="P108" s="11">
        <x:f>J108-L108</x:f>
      </x:c>
      <x:c r="Q108" s="12">
        <x:f>IF(L108=0,0,P108/L108)</x:f>
      </x:c>
      <x:c r="R108" s="11">
        <x:f>J108-M108</x:f>
      </x:c>
      <x:c r="S108" s="11">
        <x:f>IF(I108="Revenue",N108,-N108)</x:f>
      </x:c>
      <x:c r="T108">
        <x:f>IF(S108&gt;=0,"Favourable","Unfavourable")</x:f>
      </x:c>
      <x:c r="U108" s="11" t="n">
        <x:v>0</x:v>
      </x:c>
      <x:c r="V108" s="11" t="n">
        <x:v>-0.02</x:v>
      </x:c>
      <x:c r="W108" s="11" t="n">
        <x:v>0.03</x:v>
      </x:c>
      <x:c r="X108" s="11" t="n">
        <x:v>-0.01</x:v>
      </x:c>
      <x:c r="Y108" s="11">
        <x:f>ROUND(U108+V108+W108+X108-N108,2)</x:f>
      </x:c>
      <x:c r="Z108">
        <x:f>IF(AND(ABS(ROUND(N108,2))&gt;=0.5,ABS(O108)&gt;=0.05),"Yes","No")</x:f>
      </x:c>
      <x:c r="AA108" t="inlineStr">
        <x:is>
          <x:t xml:space="preserve">Closed actual</x:t>
        </x:is>
      </x:c>
      <x:c r="AB108" t="inlineStr">
        <x:is>
          <x:t xml:space="preserve"/>
        </x:is>
      </x:c>
      <x:c r="AC108" t="inlineStr">
        <x:is>
          <x:t xml:space="preserve"/>
        </x:is>
      </x:c>
      <x:c r="AD108" t="inlineStr">
        <x:is>
          <x:t xml:space="preserve">Synthetic - CIE training only</x:t>
        </x:is>
      </x:c>
    </x:row>
    <x:row r="109">
      <x:c r="A109" t="inlineStr">
        <x:is>
          <x:t xml:space="preserve">FIN-0104</x:t>
        </x:is>
      </x:c>
      <x:c r="B109" t="inlineStr">
        <x:is>
          <x:t xml:space="preserve">P08 Aug-2026</x:t>
        </x:is>
      </x:c>
      <x:c r="C109" s="10" t="n">
        <x:v>46265</x:v>
      </x:c>
      <x:c r="D109" t="inlineStr">
        <x:is>
          <x:t xml:space="preserve">Region Atlas</x:t>
        </x:is>
      </x:c>
      <x:c r="E109" t="inlineStr">
        <x:is>
          <x:t xml:space="preserve">Islemark</x:t>
        </x:is>
      </x:c>
      <x:c r="F109" t="inlineStr">
        <x:is>
          <x:t xml:space="preserve">Marketing</x:t>
        </x:is>
      </x:c>
      <x:c r="G109" t="inlineStr">
        <x:is>
          <x:t xml:space="preserve">IM-MKT-400</x:t>
        </x:is>
      </x:c>
      <x:c r="H109" t="inlineStr">
        <x:is>
          <x:t xml:space="preserve">Trade Marketing Investment</x:t>
        </x:is>
      </x:c>
      <x:c r="I109" t="inlineStr">
        <x:is>
          <x:t xml:space="preserve">Cost</x:t>
        </x:is>
      </x:c>
      <x:c r="J109" s="11" t="n">
        <x:v>3.71</x:v>
      </x:c>
      <x:c r="K109" s="11" t="n">
        <x:v>3.81</x:v>
      </x:c>
      <x:c r="L109" s="11" t="n">
        <x:v>3.67</x:v>
      </x:c>
      <x:c r="M109" s="11" t="n">
        <x:v>3.67</x:v>
      </x:c>
      <x:c r="N109" s="11">
        <x:f>J109-K109</x:f>
      </x:c>
      <x:c r="O109" s="12">
        <x:f>IF(K109=0,0,N109/K109)</x:f>
      </x:c>
      <x:c r="P109" s="11">
        <x:f>J109-L109</x:f>
      </x:c>
      <x:c r="Q109" s="12">
        <x:f>IF(L109=0,0,P109/L109)</x:f>
      </x:c>
      <x:c r="R109" s="11">
        <x:f>J109-M109</x:f>
      </x:c>
      <x:c r="S109" s="11">
        <x:f>IF(I109="Revenue",N109,-N109)</x:f>
      </x:c>
      <x:c r="T109">
        <x:f>IF(S109&gt;=0,"Favourable","Unfavourable")</x:f>
      </x:c>
      <x:c r="U109" s="11" t="n">
        <x:v>0.05</x:v>
      </x:c>
      <x:c r="V109" s="11" t="n">
        <x:v>-0.1</x:v>
      </x:c>
      <x:c r="W109" s="11" t="n">
        <x:v>-0.04</x:v>
      </x:c>
      <x:c r="X109" s="11" t="n">
        <x:v>-0.01</x:v>
      </x:c>
      <x:c r="Y109" s="11">
        <x:f>ROUND(U109+V109+W109+X109-N109,2)</x:f>
      </x:c>
      <x:c r="Z109">
        <x:f>IF(AND(ABS(ROUND(N109,2))&gt;=0.5,ABS(O109)&gt;=0.05),"Yes","No")</x:f>
      </x:c>
      <x:c r="AA109" t="inlineStr">
        <x:is>
          <x:t xml:space="preserve">Closed actual</x:t>
        </x:is>
      </x:c>
      <x:c r="AB109" t="inlineStr">
        <x:is>
          <x:t xml:space="preserve"/>
        </x:is>
      </x:c>
      <x:c r="AC109" t="inlineStr">
        <x:is>
          <x:t xml:space="preserve"/>
        </x:is>
      </x:c>
      <x:c r="AD109" t="inlineStr">
        <x:is>
          <x:t xml:space="preserve">Synthetic - CIE training only</x:t>
        </x:is>
      </x:c>
    </x:row>
    <x:row r="110">
      <x:c r="A110" t="inlineStr">
        <x:is>
          <x:t xml:space="preserve">FIN-0105</x:t>
        </x:is>
      </x:c>
      <x:c r="B110" t="inlineStr">
        <x:is>
          <x:t xml:space="preserve">P08 Aug-2026</x:t>
        </x:is>
      </x:c>
      <x:c r="C110" s="10" t="n">
        <x:v>46265</x:v>
      </x:c>
      <x:c r="D110" t="inlineStr">
        <x:is>
          <x:t xml:space="preserve">Region Atlas</x:t>
        </x:is>
      </x:c>
      <x:c r="E110" t="inlineStr">
        <x:is>
          <x:t xml:space="preserve">Islemark</x:t>
        </x:is>
      </x:c>
      <x:c r="F110" t="inlineStr">
        <x:is>
          <x:t xml:space="preserve">Commercial</x:t>
        </x:is>
      </x:c>
      <x:c r="G110" t="inlineStr">
        <x:is>
          <x:t xml:space="preserve">IM-COM-110</x:t>
        </x:is>
      </x:c>
      <x:c r="H110" t="inlineStr">
        <x:is>
          <x:t xml:space="preserve">Sales Force Cost</x:t>
        </x:is>
      </x:c>
      <x:c r="I110" t="inlineStr">
        <x:is>
          <x:t xml:space="preserve">Cost</x:t>
        </x:is>
      </x:c>
      <x:c r="J110" s="11" t="n">
        <x:v>2.19</x:v>
      </x:c>
      <x:c r="K110" s="11" t="n">
        <x:v>2.16</x:v>
      </x:c>
      <x:c r="L110" s="11" t="n">
        <x:v>2.06</x:v>
      </x:c>
      <x:c r="M110" s="11" t="n">
        <x:v>2.19</x:v>
      </x:c>
      <x:c r="N110" s="11">
        <x:f>J110-K110</x:f>
      </x:c>
      <x:c r="O110" s="12">
        <x:f>IF(K110=0,0,N110/K110)</x:f>
      </x:c>
      <x:c r="P110" s="11">
        <x:f>J110-L110</x:f>
      </x:c>
      <x:c r="Q110" s="12">
        <x:f>IF(L110=0,0,P110/L110)</x:f>
      </x:c>
      <x:c r="R110" s="11">
        <x:f>J110-M110</x:f>
      </x:c>
      <x:c r="S110" s="11">
        <x:f>IF(I110="Revenue",N110,-N110)</x:f>
      </x:c>
      <x:c r="T110">
        <x:f>IF(S110&gt;=0,"Favourable","Unfavourable")</x:f>
      </x:c>
      <x:c r="U110" s="11" t="n">
        <x:v>0.02</x:v>
      </x:c>
      <x:c r="V110" s="11" t="n">
        <x:v>0</x:v>
      </x:c>
      <x:c r="W110" s="11" t="n">
        <x:v>0.02</x:v>
      </x:c>
      <x:c r="X110" s="11" t="n">
        <x:v>-0.01</x:v>
      </x:c>
      <x:c r="Y110" s="11">
        <x:f>ROUND(U110+V110+W110+X110-N110,2)</x:f>
      </x:c>
      <x:c r="Z110">
        <x:f>IF(AND(ABS(ROUND(N110,2))&gt;=0.5,ABS(O110)&gt;=0.05),"Yes","No")</x:f>
      </x:c>
      <x:c r="AA110" t="inlineStr">
        <x:is>
          <x:t xml:space="preserve">Closed actual</x:t>
        </x:is>
      </x:c>
      <x:c r="AB110" t="inlineStr">
        <x:is>
          <x:t xml:space="preserve"/>
        </x:is>
      </x:c>
      <x:c r="AC110" t="inlineStr">
        <x:is>
          <x:t xml:space="preserve"/>
        </x:is>
      </x:c>
      <x:c r="AD110" t="inlineStr">
        <x:is>
          <x:t xml:space="preserve">Synthetic - CIE training only</x:t>
        </x:is>
      </x:c>
    </x:row>
    <x:row r="111">
      <x:c r="A111" t="inlineStr">
        <x:is>
          <x:t xml:space="preserve">FIN-0106</x:t>
        </x:is>
      </x:c>
      <x:c r="B111" t="inlineStr">
        <x:is>
          <x:t xml:space="preserve">P08 Aug-2026</x:t>
        </x:is>
      </x:c>
      <x:c r="C111" s="10" t="n">
        <x:v>46265</x:v>
      </x:c>
      <x:c r="D111" t="inlineStr">
        <x:is>
          <x:t xml:space="preserve">Region Atlas</x:t>
        </x:is>
      </x:c>
      <x:c r="E111" t="inlineStr">
        <x:is>
          <x:t xml:space="preserve">Islemark</x:t>
        </x:is>
      </x:c>
      <x:c r="F111" t="inlineStr">
        <x:is>
          <x:t xml:space="preserve">Digital &amp; IT</x:t>
        </x:is>
      </x:c>
      <x:c r="G111" t="inlineStr">
        <x:is>
          <x:t xml:space="preserve">IM-DIT-500</x:t>
        </x:is>
      </x:c>
      <x:c r="H111" t="inlineStr">
        <x:is>
          <x:t xml:space="preserve">Digital &amp; IT Cost</x:t>
        </x:is>
      </x:c>
      <x:c r="I111" t="inlineStr">
        <x:is>
          <x:t xml:space="preserve">Cost</x:t>
        </x:is>
      </x:c>
      <x:c r="J111" s="11" t="n">
        <x:v>1.54</x:v>
      </x:c>
      <x:c r="K111" s="11" t="n">
        <x:v>1.59</x:v>
      </x:c>
      <x:c r="L111" s="11" t="n">
        <x:v>1.48</x:v>
      </x:c>
      <x:c r="M111" s="11" t="n">
        <x:v>1.54</x:v>
      </x:c>
      <x:c r="N111" s="11">
        <x:f>J111-K111</x:f>
      </x:c>
      <x:c r="O111" s="12">
        <x:f>IF(K111=0,0,N111/K111)</x:f>
      </x:c>
      <x:c r="P111" s="11">
        <x:f>J111-L111</x:f>
      </x:c>
      <x:c r="Q111" s="12">
        <x:f>IF(L111=0,0,P111/L111)</x:f>
      </x:c>
      <x:c r="R111" s="11">
        <x:f>J111-M111</x:f>
      </x:c>
      <x:c r="S111" s="11">
        <x:f>IF(I111="Revenue",N111,-N111)</x:f>
      </x:c>
      <x:c r="T111">
        <x:f>IF(S111&gt;=0,"Favourable","Unfavourable")</x:f>
      </x:c>
      <x:c r="U111" s="11" t="n">
        <x:v>-0.03</x:v>
      </x:c>
      <x:c r="V111" s="11" t="n">
        <x:v>0.01</x:v>
      </x:c>
      <x:c r="W111" s="11" t="n">
        <x:v>-0.01</x:v>
      </x:c>
      <x:c r="X111" s="11" t="n">
        <x:v>-0.02</x:v>
      </x:c>
      <x:c r="Y111" s="11">
        <x:f>ROUND(U111+V111+W111+X111-N111,2)</x:f>
      </x:c>
      <x:c r="Z111">
        <x:f>IF(AND(ABS(ROUND(N111,2))&gt;=0.5,ABS(O111)&gt;=0.05),"Yes","No")</x:f>
      </x:c>
      <x:c r="AA111" t="inlineStr">
        <x:is>
          <x:t xml:space="preserve">Closed actual</x:t>
        </x:is>
      </x:c>
      <x:c r="AB111" t="inlineStr">
        <x:is>
          <x:t xml:space="preserve"/>
        </x:is>
      </x:c>
      <x:c r="AC111" t="inlineStr">
        <x:is>
          <x:t xml:space="preserve"/>
        </x:is>
      </x:c>
      <x:c r="AD111" t="inlineStr">
        <x:is>
          <x:t xml:space="preserve">Synthetic - CIE training only</x:t>
        </x:is>
      </x:c>
    </x:row>
    <x:row r="112">
      <x:c r="A112" t="inlineStr">
        <x:is>
          <x:t xml:space="preserve">FIN-0107</x:t>
        </x:is>
      </x:c>
      <x:c r="B112" t="inlineStr">
        <x:is>
          <x:t xml:space="preserve">P08 Aug-2026</x:t>
        </x:is>
      </x:c>
      <x:c r="C112" s="10" t="n">
        <x:v>46265</x:v>
      </x:c>
      <x:c r="D112" t="inlineStr">
        <x:is>
          <x:t xml:space="preserve">Region Atlas</x:t>
        </x:is>
      </x:c>
      <x:c r="E112" t="inlineStr">
        <x:is>
          <x:t xml:space="preserve">Islemark</x:t>
        </x:is>
      </x:c>
      <x:c r="F112" t="inlineStr">
        <x:is>
          <x:t xml:space="preserve">Finance</x:t>
        </x:is>
      </x:c>
      <x:c r="G112" t="inlineStr">
        <x:is>
          <x:t xml:space="preserve">IM-FIN-600</x:t>
        </x:is>
      </x:c>
      <x:c r="H112" t="inlineStr">
        <x:is>
          <x:t xml:space="preserve">General &amp; Admin Cost</x:t>
        </x:is>
      </x:c>
      <x:c r="I112" t="inlineStr">
        <x:is>
          <x:t xml:space="preserve">Cost</x:t>
        </x:is>
      </x:c>
      <x:c r="J112" s="11" t="n">
        <x:v>1.28</x:v>
      </x:c>
      <x:c r="K112" s="11" t="n">
        <x:v>1.28</x:v>
      </x:c>
      <x:c r="L112" s="11" t="n">
        <x:v>1.23</x:v>
      </x:c>
      <x:c r="M112" s="11" t="n">
        <x:v>1.27</x:v>
      </x:c>
      <x:c r="N112" s="11">
        <x:f>J112-K112</x:f>
      </x:c>
      <x:c r="O112" s="12">
        <x:f>IF(K112=0,0,N112/K112)</x:f>
      </x:c>
      <x:c r="P112" s="11">
        <x:f>J112-L112</x:f>
      </x:c>
      <x:c r="Q112" s="12">
        <x:f>IF(L112=0,0,P112/L112)</x:f>
      </x:c>
      <x:c r="R112" s="11">
        <x:f>J112-M112</x:f>
      </x:c>
      <x:c r="S112" s="11">
        <x:f>IF(I112="Revenue",N112,-N112)</x:f>
      </x:c>
      <x:c r="T112">
        <x:f>IF(S112&gt;=0,"Favourable","Unfavourable")</x:f>
      </x:c>
      <x:c r="U112" s="11" t="n">
        <x:v>0</x:v>
      </x:c>
      <x:c r="V112" s="11" t="n">
        <x:v>0.01</x:v>
      </x:c>
      <x:c r="W112" s="11" t="n">
        <x:v>0</x:v>
      </x:c>
      <x:c r="X112" s="11" t="n">
        <x:v>-0.01</x:v>
      </x:c>
      <x:c r="Y112" s="11">
        <x:f>ROUND(U112+V112+W112+X112-N112,2)</x:f>
      </x:c>
      <x:c r="Z112">
        <x:f>IF(AND(ABS(ROUND(N112,2))&gt;=0.5,ABS(O112)&gt;=0.05),"Yes","No")</x:f>
      </x:c>
      <x:c r="AA112" t="inlineStr">
        <x:is>
          <x:t xml:space="preserve">Closed actual</x:t>
        </x:is>
      </x:c>
      <x:c r="AB112" t="inlineStr">
        <x:is>
          <x:t xml:space="preserve"/>
        </x:is>
      </x:c>
      <x:c r="AC112" t="inlineStr">
        <x:is>
          <x:t xml:space="preserve"/>
        </x:is>
      </x:c>
      <x:c r="AD112" t="inlineStr">
        <x:is>
          <x:t xml:space="preserve">Synthetic - CIE training only</x:t>
        </x:is>
      </x:c>
    </x:row>
    <x:row r="113">
      <x:c r="A113" t="inlineStr">
        <x:is>
          <x:t xml:space="preserve">FIN-0108</x:t>
        </x:is>
      </x:c>
      <x:c r="B113" t="inlineStr">
        <x:is>
          <x:t xml:space="preserve">P08 Aug-2026</x:t>
        </x:is>
      </x:c>
      <x:c r="C113" s="10" t="n">
        <x:v>46265</x:v>
      </x:c>
      <x:c r="D113" t="inlineStr">
        <x:is>
          <x:t xml:space="preserve">Region Atlas</x:t>
        </x:is>
      </x:c>
      <x:c r="E113" t="inlineStr">
        <x:is>
          <x:t xml:space="preserve">Islemark</x:t>
        </x:is>
      </x:c>
      <x:c r="F113" t="inlineStr">
        <x:is>
          <x:t xml:space="preserve">Operations</x:t>
        </x:is>
      </x:c>
      <x:c r="G113" t="inlineStr">
        <x:is>
          <x:t xml:space="preserve">IM-OPS-210</x:t>
        </x:is>
      </x:c>
      <x:c r="H113" t="inlineStr">
        <x:is>
          <x:t xml:space="preserve">Facilities Cost</x:t>
        </x:is>
      </x:c>
      <x:c r="I113" t="inlineStr">
        <x:is>
          <x:t xml:space="preserve">Cost</x:t>
        </x:is>
      </x:c>
      <x:c r="J113" s="11" t="n">
        <x:v>0.76</x:v>
      </x:c>
      <x:c r="K113" s="11" t="n">
        <x:v>0.74</x:v>
      </x:c>
      <x:c r="L113" s="11" t="n">
        <x:v>0.7</x:v>
      </x:c>
      <x:c r="M113" s="11" t="n">
        <x:v>0.77</x:v>
      </x:c>
      <x:c r="N113" s="11">
        <x:f>J113-K113</x:f>
      </x:c>
      <x:c r="O113" s="12">
        <x:f>IF(K113=0,0,N113/K113)</x:f>
      </x:c>
      <x:c r="P113" s="11">
        <x:f>J113-L113</x:f>
      </x:c>
      <x:c r="Q113" s="12">
        <x:f>IF(L113=0,0,P113/L113)</x:f>
      </x:c>
      <x:c r="R113" s="11">
        <x:f>J113-M113</x:f>
      </x:c>
      <x:c r="S113" s="11">
        <x:f>IF(I113="Revenue",N113,-N113)</x:f>
      </x:c>
      <x:c r="T113">
        <x:f>IF(S113&gt;=0,"Favourable","Unfavourable")</x:f>
      </x:c>
      <x:c r="U113" s="11" t="n">
        <x:v>0.02</x:v>
      </x:c>
      <x:c r="V113" s="11" t="n">
        <x:v>0</x:v>
      </x:c>
      <x:c r="W113" s="11" t="n">
        <x:v>0</x:v>
      </x:c>
      <x:c r="X113" s="11" t="n">
        <x:v>0</x:v>
      </x:c>
      <x:c r="Y113" s="11">
        <x:f>ROUND(U113+V113+W113+X113-N113,2)</x:f>
      </x:c>
      <x:c r="Z113">
        <x:f>IF(AND(ABS(ROUND(N113,2))&gt;=0.5,ABS(O113)&gt;=0.05),"Yes","No")</x:f>
      </x:c>
      <x:c r="AA113" t="inlineStr">
        <x:is>
          <x:t xml:space="preserve">Closed actual</x:t>
        </x:is>
      </x:c>
      <x:c r="AB113" t="inlineStr">
        <x:is>
          <x:t xml:space="preserve"/>
        </x:is>
      </x:c>
      <x:c r="AC113" t="inlineStr">
        <x:is>
          <x:t xml:space="preserve"/>
        </x:is>
      </x:c>
      <x:c r="AD113" t="inlineStr">
        <x:is>
          <x:t xml:space="preserve">Synthetic - CIE training only</x:t>
        </x:is>
      </x:c>
    </x:row>
    <x:row r="114">
      <x:c r="A114" t="inlineStr">
        <x:is>
          <x:t xml:space="preserve">FIN-0109</x:t>
        </x:is>
      </x:c>
      <x:c r="B114" t="inlineStr">
        <x:is>
          <x:t xml:space="preserve">P09 Sep-2026</x:t>
        </x:is>
      </x:c>
      <x:c r="C114" s="10" t="n">
        <x:v>46295</x:v>
      </x:c>
      <x:c r="D114" t="inlineStr">
        <x:is>
          <x:t xml:space="preserve">Region Atlas</x:t>
        </x:is>
      </x:c>
      <x:c r="E114" t="inlineStr">
        <x:is>
          <x:t xml:space="preserve">Northmere</x:t>
        </x:is>
      </x:c>
      <x:c r="F114" t="inlineStr">
        <x:is>
          <x:t xml:space="preserve">Commercial</x:t>
        </x:is>
      </x:c>
      <x:c r="G114" t="inlineStr">
        <x:is>
          <x:t xml:space="preserve">NM-COM-100</x:t>
        </x:is>
      </x:c>
      <x:c r="H114" t="inlineStr">
        <x:is>
          <x:t xml:space="preserve">Net Revenue</x:t>
        </x:is>
      </x:c>
      <x:c r="I114" t="inlineStr">
        <x:is>
          <x:t xml:space="preserve">Revenue</x:t>
        </x:is>
      </x:c>
      <x:c r="J114" s="11" t="n">
        <x:v>82.23999999999999</x:v>
      </x:c>
      <x:c r="K114" s="11" t="n">
        <x:v>79.67</x:v>
      </x:c>
      <x:c r="L114" s="11" t="n">
        <x:v>78.29000000000001</x:v>
      </x:c>
      <x:c r="M114" s="11" t="n">
        <x:v>81.70999999999999</x:v>
      </x:c>
      <x:c r="N114" s="11">
        <x:f>J114-K114</x:f>
      </x:c>
      <x:c r="O114" s="12">
        <x:f>IF(K114=0,0,N114/K114)</x:f>
      </x:c>
      <x:c r="P114" s="11">
        <x:f>J114-L114</x:f>
      </x:c>
      <x:c r="Q114" s="12">
        <x:f>IF(L114=0,0,P114/L114)</x:f>
      </x:c>
      <x:c r="R114" s="11">
        <x:f>J114-M114</x:f>
      </x:c>
      <x:c r="S114" s="11">
        <x:f>IF(I114="Revenue",N114,-N114)</x:f>
      </x:c>
      <x:c r="T114">
        <x:f>IF(S114&gt;=0,"Favourable","Unfavourable")</x:f>
      </x:c>
      <x:c r="U114" s="11" t="n">
        <x:v>-1.2</x:v>
      </x:c>
      <x:c r="V114" s="11" t="n">
        <x:v>3.99</x:v>
      </x:c>
      <x:c r="W114" s="11" t="n">
        <x:v>0.59</x:v>
      </x:c>
      <x:c r="X114" s="11" t="n">
        <x:v>-0.8100000000000001</x:v>
      </x:c>
      <x:c r="Y114" s="11">
        <x:f>ROUND(U114+V114+W114+X114-N114,2)</x:f>
      </x:c>
      <x:c r="Z114">
        <x:f>IF(AND(ABS(ROUND(N114,2))&gt;=0.5,ABS(O114)&gt;=0.05),"Yes","No")</x:f>
      </x:c>
      <x:c r="AA114" t="inlineStr">
        <x:is>
          <x:t xml:space="preserve">Closed actual</x:t>
        </x:is>
      </x:c>
      <x:c r="AB114" t="inlineStr">
        <x:is>
          <x:t xml:space="preserve"/>
        </x:is>
      </x:c>
      <x:c r="AC114" t="inlineStr">
        <x:is>
          <x:t xml:space="preserve">Favourable price/mix from premium portfolio (synthetic); sustainability to be validated</x:t>
        </x:is>
      </x:c>
      <x:c r="AD114" t="inlineStr">
        <x:is>
          <x:t xml:space="preserve">Synthetic - CIE training only</x:t>
        </x:is>
      </x:c>
    </x:row>
    <x:row r="115">
      <x:c r="A115" t="inlineStr">
        <x:is>
          <x:t xml:space="preserve">FIN-0110</x:t>
        </x:is>
      </x:c>
      <x:c r="B115" t="inlineStr">
        <x:is>
          <x:t xml:space="preserve">P09 Sep-2026</x:t>
        </x:is>
      </x:c>
      <x:c r="C115" s="10" t="n">
        <x:v>46295</x:v>
      </x:c>
      <x:c r="D115" t="inlineStr">
        <x:is>
          <x:t xml:space="preserve">Region Atlas</x:t>
        </x:is>
      </x:c>
      <x:c r="E115" t="inlineStr">
        <x:is>
          <x:t xml:space="preserve">Northmere</x:t>
        </x:is>
      </x:c>
      <x:c r="F115" t="inlineStr">
        <x:is>
          <x:t xml:space="preserve">Finance</x:t>
        </x:is>
      </x:c>
      <x:c r="G115" t="inlineStr">
        <x:is>
          <x:t xml:space="preserve">NM-FIN-900</x:t>
        </x:is>
      </x:c>
      <x:c r="H115" t="inlineStr">
        <x:is>
          <x:t xml:space="preserve">Other Operating Income</x:t>
        </x:is>
      </x:c>
      <x:c r="I115" t="inlineStr">
        <x:is>
          <x:t xml:space="preserve">Revenue</x:t>
        </x:is>
      </x:c>
      <x:c r="J115" s="11" t="n">
        <x:v>1.82</x:v>
      </x:c>
      <x:c r="K115" s="11" t="n">
        <x:v>1.85</x:v>
      </x:c>
      <x:c r="L115" s="11" t="n">
        <x:v>1.83</x:v>
      </x:c>
      <x:c r="M115" s="11" t="n">
        <x:v>1.88</x:v>
      </x:c>
      <x:c r="N115" s="11">
        <x:f>J115-K115</x:f>
      </x:c>
      <x:c r="O115" s="12">
        <x:f>IF(K115=0,0,N115/K115)</x:f>
      </x:c>
      <x:c r="P115" s="11">
        <x:f>J115-L115</x:f>
      </x:c>
      <x:c r="Q115" s="12">
        <x:f>IF(L115=0,0,P115/L115)</x:f>
      </x:c>
      <x:c r="R115" s="11">
        <x:f>J115-M115</x:f>
      </x:c>
      <x:c r="S115" s="11">
        <x:f>IF(I115="Revenue",N115,-N115)</x:f>
      </x:c>
      <x:c r="T115">
        <x:f>IF(S115&gt;=0,"Favourable","Unfavourable")</x:f>
      </x:c>
      <x:c r="U115" s="11" t="n">
        <x:v>0</x:v>
      </x:c>
      <x:c r="V115" s="11" t="n">
        <x:v>-0.03</x:v>
      </x:c>
      <x:c r="W115" s="11" t="n">
        <x:v>0</x:v>
      </x:c>
      <x:c r="X115" s="11" t="n">
        <x:v>0</x:v>
      </x:c>
      <x:c r="Y115" s="11">
        <x:f>ROUND(U115+V115+W115+X115-N115,2)</x:f>
      </x:c>
      <x:c r="Z115">
        <x:f>IF(AND(ABS(ROUND(N115,2))&gt;=0.5,ABS(O115)&gt;=0.05),"Yes","No")</x:f>
      </x:c>
      <x:c r="AA115" t="inlineStr">
        <x:is>
          <x:t xml:space="preserve">Closed actual</x:t>
        </x:is>
      </x:c>
      <x:c r="AB115" t="inlineStr">
        <x:is>
          <x:t xml:space="preserve"/>
        </x:is>
      </x:c>
      <x:c r="AC115" t="inlineStr">
        <x:is>
          <x:t xml:space="preserve"/>
        </x:is>
      </x:c>
      <x:c r="AD115" t="inlineStr">
        <x:is>
          <x:t xml:space="preserve">Synthetic - CIE training only</x:t>
        </x:is>
      </x:c>
    </x:row>
    <x:row r="116">
      <x:c r="A116" t="inlineStr">
        <x:is>
          <x:t xml:space="preserve">FIN-0111</x:t>
        </x:is>
      </x:c>
      <x:c r="B116" t="inlineStr">
        <x:is>
          <x:t xml:space="preserve">P09 Sep-2026</x:t>
        </x:is>
      </x:c>
      <x:c r="C116" s="10" t="n">
        <x:v>46295</x:v>
      </x:c>
      <x:c r="D116" t="inlineStr">
        <x:is>
          <x:t xml:space="preserve">Region Atlas</x:t>
        </x:is>
      </x:c>
      <x:c r="E116" t="inlineStr">
        <x:is>
          <x:t xml:space="preserve">Northmere</x:t>
        </x:is>
      </x:c>
      <x:c r="F116" t="inlineStr">
        <x:is>
          <x:t xml:space="preserve">Operations</x:t>
        </x:is>
      </x:c>
      <x:c r="G116" t="inlineStr">
        <x:is>
          <x:t xml:space="preserve">NM-OPS-200</x:t>
        </x:is>
      </x:c>
      <x:c r="H116" t="inlineStr">
        <x:is>
          <x:t xml:space="preserve">Cost of Goods Sold</x:t>
        </x:is>
      </x:c>
      <x:c r="I116" t="inlineStr">
        <x:is>
          <x:t xml:space="preserve">Cost</x:t>
        </x:is>
      </x:c>
      <x:c r="J116" s="11" t="n">
        <x:v>29.87</x:v>
      </x:c>
      <x:c r="K116" s="11" t="n">
        <x:v>30.09</x:v>
      </x:c>
      <x:c r="L116" s="11" t="n">
        <x:v>29.51</x:v>
      </x:c>
      <x:c r="M116" s="11" t="n">
        <x:v>29.72</x:v>
      </x:c>
      <x:c r="N116" s="11">
        <x:f>J116-K116</x:f>
      </x:c>
      <x:c r="O116" s="12">
        <x:f>IF(K116=0,0,N116/K116)</x:f>
      </x:c>
      <x:c r="P116" s="11">
        <x:f>J116-L116</x:f>
      </x:c>
      <x:c r="Q116" s="12">
        <x:f>IF(L116=0,0,P116/L116)</x:f>
      </x:c>
      <x:c r="R116" s="11">
        <x:f>J116-M116</x:f>
      </x:c>
      <x:c r="S116" s="11">
        <x:f>IF(I116="Revenue",N116,-N116)</x:f>
      </x:c>
      <x:c r="T116">
        <x:f>IF(S116&gt;=0,"Favourable","Unfavourable")</x:f>
      </x:c>
      <x:c r="U116" s="11" t="n">
        <x:v>-0.24</x:v>
      </x:c>
      <x:c r="V116" s="11" t="n">
        <x:v>0.24</x:v>
      </x:c>
      <x:c r="W116" s="11" t="n">
        <x:v>-0.22</x:v>
      </x:c>
      <x:c r="X116" s="11" t="n">
        <x:v>0</x:v>
      </x:c>
      <x:c r="Y116" s="11">
        <x:f>ROUND(U116+V116+W116+X116-N116,2)</x:f>
      </x:c>
      <x:c r="Z116">
        <x:f>IF(AND(ABS(ROUND(N116,2))&gt;=0.5,ABS(O116)&gt;=0.05),"Yes","No")</x:f>
      </x:c>
      <x:c r="AA116" t="inlineStr">
        <x:is>
          <x:t xml:space="preserve">Closed actual</x:t>
        </x:is>
      </x:c>
      <x:c r="AB116" t="inlineStr">
        <x:is>
          <x:t xml:space="preserve"/>
        </x:is>
      </x:c>
      <x:c r="AC116" t="inlineStr">
        <x:is>
          <x:t xml:space="preserve"/>
        </x:is>
      </x:c>
      <x:c r="AD116" t="inlineStr">
        <x:is>
          <x:t xml:space="preserve">Synthetic - CIE training only</x:t>
        </x:is>
      </x:c>
    </x:row>
    <x:row r="117">
      <x:c r="A117" t="inlineStr">
        <x:is>
          <x:t xml:space="preserve">FIN-0112</x:t>
        </x:is>
      </x:c>
      <x:c r="B117" t="inlineStr">
        <x:is>
          <x:t xml:space="preserve">P09 Sep-2026</x:t>
        </x:is>
      </x:c>
      <x:c r="C117" s="10" t="n">
        <x:v>46295</x:v>
      </x:c>
      <x:c r="D117" t="inlineStr">
        <x:is>
          <x:t xml:space="preserve">Region Atlas</x:t>
        </x:is>
      </x:c>
      <x:c r="E117" t="inlineStr">
        <x:is>
          <x:t xml:space="preserve">Northmere</x:t>
        </x:is>
      </x:c>
      <x:c r="F117" t="inlineStr">
        <x:is>
          <x:t xml:space="preserve">Supply Chain</x:t>
        </x:is>
      </x:c>
      <x:c r="G117" t="inlineStr">
        <x:is>
          <x:t xml:space="preserve">NM-SCM-300</x:t>
        </x:is>
      </x:c>
      <x:c r="H117" t="inlineStr">
        <x:is>
          <x:t xml:space="preserve">Logistics &amp; Distribution</x:t>
        </x:is>
      </x:c>
      <x:c r="I117" t="inlineStr">
        <x:is>
          <x:t xml:space="preserve">Cost</x:t>
        </x:is>
      </x:c>
      <x:c r="J117" s="11" t="n">
        <x:v>5.86</x:v>
      </x:c>
      <x:c r="K117" s="11" t="n">
        <x:v>5.83</x:v>
      </x:c>
      <x:c r="L117" s="11" t="n">
        <x:v>5.77</x:v>
      </x:c>
      <x:c r="M117" s="11" t="n">
        <x:v>5.9</x:v>
      </x:c>
      <x:c r="N117" s="11">
        <x:f>J117-K117</x:f>
      </x:c>
      <x:c r="O117" s="12">
        <x:f>IF(K117=0,0,N117/K117)</x:f>
      </x:c>
      <x:c r="P117" s="11">
        <x:f>J117-L117</x:f>
      </x:c>
      <x:c r="Q117" s="12">
        <x:f>IF(L117=0,0,P117/L117)</x:f>
      </x:c>
      <x:c r="R117" s="11">
        <x:f>J117-M117</x:f>
      </x:c>
      <x:c r="S117" s="11">
        <x:f>IF(I117="Revenue",N117,-N117)</x:f>
      </x:c>
      <x:c r="T117">
        <x:f>IF(S117&gt;=0,"Favourable","Unfavourable")</x:f>
      </x:c>
      <x:c r="U117" s="11" t="n">
        <x:v>0.03</x:v>
      </x:c>
      <x:c r="V117" s="11" t="n">
        <x:v>-0.05</x:v>
      </x:c>
      <x:c r="W117" s="11" t="n">
        <x:v>0.06</x:v>
      </x:c>
      <x:c r="X117" s="11" t="n">
        <x:v>-0.01</x:v>
      </x:c>
      <x:c r="Y117" s="11">
        <x:f>ROUND(U117+V117+W117+X117-N117,2)</x:f>
      </x:c>
      <x:c r="Z117">
        <x:f>IF(AND(ABS(ROUND(N117,2))&gt;=0.5,ABS(O117)&gt;=0.05),"Yes","No")</x:f>
      </x:c>
      <x:c r="AA117" t="inlineStr">
        <x:is>
          <x:t xml:space="preserve">Closed actual</x:t>
        </x:is>
      </x:c>
      <x:c r="AB117" t="inlineStr">
        <x:is>
          <x:t xml:space="preserve"/>
        </x:is>
      </x:c>
      <x:c r="AC117" t="inlineStr">
        <x:is>
          <x:t xml:space="preserve"/>
        </x:is>
      </x:c>
      <x:c r="AD117" t="inlineStr">
        <x:is>
          <x:t xml:space="preserve">Synthetic - CIE training only</x:t>
        </x:is>
      </x:c>
    </x:row>
    <x:row r="118">
      <x:c r="A118" t="inlineStr">
        <x:is>
          <x:t xml:space="preserve">FIN-0113</x:t>
        </x:is>
      </x:c>
      <x:c r="B118" t="inlineStr">
        <x:is>
          <x:t xml:space="preserve">P09 Sep-2026</x:t>
        </x:is>
      </x:c>
      <x:c r="C118" s="10" t="n">
        <x:v>46295</x:v>
      </x:c>
      <x:c r="D118" t="inlineStr">
        <x:is>
          <x:t xml:space="preserve">Region Atlas</x:t>
        </x:is>
      </x:c>
      <x:c r="E118" t="inlineStr">
        <x:is>
          <x:t xml:space="preserve">Northmere</x:t>
        </x:is>
      </x:c>
      <x:c r="F118" t="inlineStr">
        <x:is>
          <x:t xml:space="preserve">Marketing</x:t>
        </x:is>
      </x:c>
      <x:c r="G118" t="inlineStr">
        <x:is>
          <x:t xml:space="preserve">NM-MKT-400</x:t>
        </x:is>
      </x:c>
      <x:c r="H118" t="inlineStr">
        <x:is>
          <x:t xml:space="preserve">Trade Marketing Investment</x:t>
        </x:is>
      </x:c>
      <x:c r="I118" t="inlineStr">
        <x:is>
          <x:t xml:space="preserve">Cost</x:t>
        </x:is>
      </x:c>
      <x:c r="J118" s="11" t="n">
        <x:v>7.82</x:v>
      </x:c>
      <x:c r="K118" s="11" t="n">
        <x:v>7.66</x:v>
      </x:c>
      <x:c r="L118" s="11" t="n">
        <x:v>7.49</x:v>
      </x:c>
      <x:c r="M118" s="11" t="n">
        <x:v>7.87</x:v>
      </x:c>
      <x:c r="N118" s="11">
        <x:f>J118-K118</x:f>
      </x:c>
      <x:c r="O118" s="12">
        <x:f>IF(K118=0,0,N118/K118)</x:f>
      </x:c>
      <x:c r="P118" s="11">
        <x:f>J118-L118</x:f>
      </x:c>
      <x:c r="Q118" s="12">
        <x:f>IF(L118=0,0,P118/L118)</x:f>
      </x:c>
      <x:c r="R118" s="11">
        <x:f>J118-M118</x:f>
      </x:c>
      <x:c r="S118" s="11">
        <x:f>IF(I118="Revenue",N118,-N118)</x:f>
      </x:c>
      <x:c r="T118">
        <x:f>IF(S118&gt;=0,"Favourable","Unfavourable")</x:f>
      </x:c>
      <x:c r="U118" s="11" t="n">
        <x:v>0.09</x:v>
      </x:c>
      <x:c r="V118" s="11" t="n">
        <x:v>0.08</x:v>
      </x:c>
      <x:c r="W118" s="11" t="n">
        <x:v>-0.03</x:v>
      </x:c>
      <x:c r="X118" s="11" t="n">
        <x:v>0.02</x:v>
      </x:c>
      <x:c r="Y118" s="11">
        <x:f>ROUND(U118+V118+W118+X118-N118,2)</x:f>
      </x:c>
      <x:c r="Z118">
        <x:f>IF(AND(ABS(ROUND(N118,2))&gt;=0.5,ABS(O118)&gt;=0.05),"Yes","No")</x:f>
      </x:c>
      <x:c r="AA118" t="inlineStr">
        <x:is>
          <x:t xml:space="preserve">Closed actual</x:t>
        </x:is>
      </x:c>
      <x:c r="AB118" t="inlineStr">
        <x:is>
          <x:t xml:space="preserve"/>
        </x:is>
      </x:c>
      <x:c r="AC118" t="inlineStr">
        <x:is>
          <x:t xml:space="preserve"/>
        </x:is>
      </x:c>
      <x:c r="AD118" t="inlineStr">
        <x:is>
          <x:t xml:space="preserve">Synthetic - CIE training only</x:t>
        </x:is>
      </x:c>
    </x:row>
    <x:row r="119">
      <x:c r="A119" t="inlineStr">
        <x:is>
          <x:t xml:space="preserve">FIN-0114</x:t>
        </x:is>
      </x:c>
      <x:c r="B119" t="inlineStr">
        <x:is>
          <x:t xml:space="preserve">P09 Sep-2026</x:t>
        </x:is>
      </x:c>
      <x:c r="C119" s="10" t="n">
        <x:v>46295</x:v>
      </x:c>
      <x:c r="D119" t="inlineStr">
        <x:is>
          <x:t xml:space="preserve">Region Atlas</x:t>
        </x:is>
      </x:c>
      <x:c r="E119" t="inlineStr">
        <x:is>
          <x:t xml:space="preserve">Northmere</x:t>
        </x:is>
      </x:c>
      <x:c r="F119" t="inlineStr">
        <x:is>
          <x:t xml:space="preserve">Commercial</x:t>
        </x:is>
      </x:c>
      <x:c r="G119" t="inlineStr">
        <x:is>
          <x:t xml:space="preserve">NM-COM-110</x:t>
        </x:is>
      </x:c>
      <x:c r="H119" t="inlineStr">
        <x:is>
          <x:t xml:space="preserve">Sales Force Cost</x:t>
        </x:is>
      </x:c>
      <x:c r="I119" t="inlineStr">
        <x:is>
          <x:t xml:space="preserve">Cost</x:t>
        </x:is>
      </x:c>
      <x:c r="J119" s="11" t="n">
        <x:v>4.57</x:v>
      </x:c>
      <x:c r="K119" s="11" t="n">
        <x:v>4.57</x:v>
      </x:c>
      <x:c r="L119" s="11" t="n">
        <x:v>4.52</x:v>
      </x:c>
      <x:c r="M119" s="11" t="n">
        <x:v>4.49</x:v>
      </x:c>
      <x:c r="N119" s="11">
        <x:f>J119-K119</x:f>
      </x:c>
      <x:c r="O119" s="12">
        <x:f>IF(K119=0,0,N119/K119)</x:f>
      </x:c>
      <x:c r="P119" s="11">
        <x:f>J119-L119</x:f>
      </x:c>
      <x:c r="Q119" s="12">
        <x:f>IF(L119=0,0,P119/L119)</x:f>
      </x:c>
      <x:c r="R119" s="11">
        <x:f>J119-M119</x:f>
      </x:c>
      <x:c r="S119" s="11">
        <x:f>IF(I119="Revenue",N119,-N119)</x:f>
      </x:c>
      <x:c r="T119">
        <x:f>IF(S119&gt;=0,"Favourable","Unfavourable")</x:f>
      </x:c>
      <x:c r="U119" s="11" t="n">
        <x:v>0.04</x:v>
      </x:c>
      <x:c r="V119" s="11" t="n">
        <x:v>-0.04</x:v>
      </x:c>
      <x:c r="W119" s="11" t="n">
        <x:v>0.01</x:v>
      </x:c>
      <x:c r="X119" s="11" t="n">
        <x:v>-0.01</x:v>
      </x:c>
      <x:c r="Y119" s="11">
        <x:f>ROUND(U119+V119+W119+X119-N119,2)</x:f>
      </x:c>
      <x:c r="Z119">
        <x:f>IF(AND(ABS(ROUND(N119,2))&gt;=0.5,ABS(O119)&gt;=0.05),"Yes","No")</x:f>
      </x:c>
      <x:c r="AA119" t="inlineStr">
        <x:is>
          <x:t xml:space="preserve">Closed actual</x:t>
        </x:is>
      </x:c>
      <x:c r="AB119" t="inlineStr">
        <x:is>
          <x:t xml:space="preserve"/>
        </x:is>
      </x:c>
      <x:c r="AC119" t="inlineStr">
        <x:is>
          <x:t xml:space="preserve"/>
        </x:is>
      </x:c>
      <x:c r="AD119" t="inlineStr">
        <x:is>
          <x:t xml:space="preserve">Synthetic - CIE training only</x:t>
        </x:is>
      </x:c>
    </x:row>
    <x:row r="120">
      <x:c r="A120" t="inlineStr">
        <x:is>
          <x:t xml:space="preserve">FIN-0115</x:t>
        </x:is>
      </x:c>
      <x:c r="B120" t="inlineStr">
        <x:is>
          <x:t xml:space="preserve">P09 Sep-2026</x:t>
        </x:is>
      </x:c>
      <x:c r="C120" s="10" t="n">
        <x:v>46295</x:v>
      </x:c>
      <x:c r="D120" t="inlineStr">
        <x:is>
          <x:t xml:space="preserve">Region Atlas</x:t>
        </x:is>
      </x:c>
      <x:c r="E120" t="inlineStr">
        <x:is>
          <x:t xml:space="preserve">Northmere</x:t>
        </x:is>
      </x:c>
      <x:c r="F120" t="inlineStr">
        <x:is>
          <x:t xml:space="preserve">Digital &amp; IT</x:t>
        </x:is>
      </x:c>
      <x:c r="G120" t="inlineStr">
        <x:is>
          <x:t xml:space="preserve">NM-DIT-500</x:t>
        </x:is>
      </x:c>
      <x:c r="H120" t="inlineStr">
        <x:is>
          <x:t xml:space="preserve">Digital &amp; IT Cost</x:t>
        </x:is>
      </x:c>
      <x:c r="I120" t="inlineStr">
        <x:is>
          <x:t xml:space="preserve">Cost</x:t>
        </x:is>
      </x:c>
      <x:c r="J120" s="11" t="n">
        <x:v>3.19</x:v>
      </x:c>
      <x:c r="K120" s="11" t="n">
        <x:v>3.25</x:v>
      </x:c>
      <x:c r="L120" s="11" t="n">
        <x:v>3.21</x:v>
      </x:c>
      <x:c r="M120" s="11" t="n">
        <x:v>3.2</x:v>
      </x:c>
      <x:c r="N120" s="11">
        <x:f>J120-K120</x:f>
      </x:c>
      <x:c r="O120" s="12">
        <x:f>IF(K120=0,0,N120/K120)</x:f>
      </x:c>
      <x:c r="P120" s="11">
        <x:f>J120-L120</x:f>
      </x:c>
      <x:c r="Q120" s="12">
        <x:f>IF(L120=0,0,P120/L120)</x:f>
      </x:c>
      <x:c r="R120" s="11">
        <x:f>J120-M120</x:f>
      </x:c>
      <x:c r="S120" s="11">
        <x:f>IF(I120="Revenue",N120,-N120)</x:f>
      </x:c>
      <x:c r="T120">
        <x:f>IF(S120&gt;=0,"Favourable","Unfavourable")</x:f>
      </x:c>
      <x:c r="U120" s="11" t="n">
        <x:v>-0.01</x:v>
      </x:c>
      <x:c r="V120" s="11" t="n">
        <x:v>0.01</x:v>
      </x:c>
      <x:c r="W120" s="11" t="n">
        <x:v>-0.04</x:v>
      </x:c>
      <x:c r="X120" s="11" t="n">
        <x:v>-0.02</x:v>
      </x:c>
      <x:c r="Y120" s="11">
        <x:f>ROUND(U120+V120+W120+X120-N120,2)</x:f>
      </x:c>
      <x:c r="Z120">
        <x:f>IF(AND(ABS(ROUND(N120,2))&gt;=0.5,ABS(O120)&gt;=0.05),"Yes","No")</x:f>
      </x:c>
      <x:c r="AA120" t="inlineStr">
        <x:is>
          <x:t xml:space="preserve">Closed actual</x:t>
        </x:is>
      </x:c>
      <x:c r="AB120" t="inlineStr">
        <x:is>
          <x:t xml:space="preserve"/>
        </x:is>
      </x:c>
      <x:c r="AC120" t="inlineStr">
        <x:is>
          <x:t xml:space="preserve"/>
        </x:is>
      </x:c>
      <x:c r="AD120" t="inlineStr">
        <x:is>
          <x:t xml:space="preserve">Synthetic - CIE training only</x:t>
        </x:is>
      </x:c>
    </x:row>
    <x:row r="121">
      <x:c r="A121" t="inlineStr">
        <x:is>
          <x:t xml:space="preserve">FIN-0116</x:t>
        </x:is>
      </x:c>
      <x:c r="B121" t="inlineStr">
        <x:is>
          <x:t xml:space="preserve">P09 Sep-2026</x:t>
        </x:is>
      </x:c>
      <x:c r="C121" s="10" t="n">
        <x:v>46295</x:v>
      </x:c>
      <x:c r="D121" t="inlineStr">
        <x:is>
          <x:t xml:space="preserve">Region Atlas</x:t>
        </x:is>
      </x:c>
      <x:c r="E121" t="inlineStr">
        <x:is>
          <x:t xml:space="preserve">Northmere</x:t>
        </x:is>
      </x:c>
      <x:c r="F121" t="inlineStr">
        <x:is>
          <x:t xml:space="preserve">Finance</x:t>
        </x:is>
      </x:c>
      <x:c r="G121" t="inlineStr">
        <x:is>
          <x:t xml:space="preserve">NM-FIN-600</x:t>
        </x:is>
      </x:c>
      <x:c r="H121" t="inlineStr">
        <x:is>
          <x:t xml:space="preserve">General &amp; Admin Cost</x:t>
        </x:is>
      </x:c>
      <x:c r="I121" t="inlineStr">
        <x:is>
          <x:t xml:space="preserve">Cost</x:t>
        </x:is>
      </x:c>
      <x:c r="J121" s="11" t="n">
        <x:v>2.5</x:v>
      </x:c>
      <x:c r="K121" s="11" t="n">
        <x:v>2.49</x:v>
      </x:c>
      <x:c r="L121" s="11" t="n">
        <x:v>2.45</x:v>
      </x:c>
      <x:c r="M121" s="11" t="n">
        <x:v>2.58</x:v>
      </x:c>
      <x:c r="N121" s="11">
        <x:f>J121-K121</x:f>
      </x:c>
      <x:c r="O121" s="12">
        <x:f>IF(K121=0,0,N121/K121)</x:f>
      </x:c>
      <x:c r="P121" s="11">
        <x:f>J121-L121</x:f>
      </x:c>
      <x:c r="Q121" s="12">
        <x:f>IF(L121=0,0,P121/L121)</x:f>
      </x:c>
      <x:c r="R121" s="11">
        <x:f>J121-M121</x:f>
      </x:c>
      <x:c r="S121" s="11">
        <x:f>IF(I121="Revenue",N121,-N121)</x:f>
      </x:c>
      <x:c r="T121">
        <x:f>IF(S121&gt;=0,"Favourable","Unfavourable")</x:f>
      </x:c>
      <x:c r="U121" s="11" t="n">
        <x:v>-0.02</x:v>
      </x:c>
      <x:c r="V121" s="11" t="n">
        <x:v>0.01</x:v>
      </x:c>
      <x:c r="W121" s="11" t="n">
        <x:v>0.01</x:v>
      </x:c>
      <x:c r="X121" s="11" t="n">
        <x:v>0.01</x:v>
      </x:c>
      <x:c r="Y121" s="11">
        <x:f>ROUND(U121+V121+W121+X121-N121,2)</x:f>
      </x:c>
      <x:c r="Z121">
        <x:f>IF(AND(ABS(ROUND(N121,2))&gt;=0.5,ABS(O121)&gt;=0.05),"Yes","No")</x:f>
      </x:c>
      <x:c r="AA121" t="inlineStr">
        <x:is>
          <x:t xml:space="preserve">Closed actual</x:t>
        </x:is>
      </x:c>
      <x:c r="AB121" t="inlineStr">
        <x:is>
          <x:t xml:space="preserve"/>
        </x:is>
      </x:c>
      <x:c r="AC121" t="inlineStr">
        <x:is>
          <x:t xml:space="preserve"/>
        </x:is>
      </x:c>
      <x:c r="AD121" t="inlineStr">
        <x:is>
          <x:t xml:space="preserve">Synthetic - CIE training only</x:t>
        </x:is>
      </x:c>
    </x:row>
    <x:row r="122">
      <x:c r="A122" t="inlineStr">
        <x:is>
          <x:t xml:space="preserve">FIN-0117</x:t>
        </x:is>
      </x:c>
      <x:c r="B122" t="inlineStr">
        <x:is>
          <x:t xml:space="preserve">P09 Sep-2026</x:t>
        </x:is>
      </x:c>
      <x:c r="C122" s="10" t="n">
        <x:v>46295</x:v>
      </x:c>
      <x:c r="D122" t="inlineStr">
        <x:is>
          <x:t xml:space="preserve">Region Atlas</x:t>
        </x:is>
      </x:c>
      <x:c r="E122" t="inlineStr">
        <x:is>
          <x:t xml:space="preserve">Northmere</x:t>
        </x:is>
      </x:c>
      <x:c r="F122" t="inlineStr">
        <x:is>
          <x:t xml:space="preserve">Operations</x:t>
        </x:is>
      </x:c>
      <x:c r="G122" t="inlineStr">
        <x:is>
          <x:t xml:space="preserve">NM-OPS-210</x:t>
        </x:is>
      </x:c>
      <x:c r="H122" t="inlineStr">
        <x:is>
          <x:t xml:space="preserve">Facilities Cost</x:t>
        </x:is>
      </x:c>
      <x:c r="I122" t="inlineStr">
        <x:is>
          <x:t xml:space="preserve">Cost</x:t>
        </x:is>
      </x:c>
      <x:c r="J122" s="11" t="n">
        <x:v>1.53</x:v>
      </x:c>
      <x:c r="K122" s="11" t="n">
        <x:v>1.52</x:v>
      </x:c>
      <x:c r="L122" s="11" t="n">
        <x:v>1.5</x:v>
      </x:c>
      <x:c r="M122" s="11" t="n">
        <x:v>1.5</x:v>
      </x:c>
      <x:c r="N122" s="11">
        <x:f>J122-K122</x:f>
      </x:c>
      <x:c r="O122" s="12">
        <x:f>IF(K122=0,0,N122/K122)</x:f>
      </x:c>
      <x:c r="P122" s="11">
        <x:f>J122-L122</x:f>
      </x:c>
      <x:c r="Q122" s="12">
        <x:f>IF(L122=0,0,P122/L122)</x:f>
      </x:c>
      <x:c r="R122" s="11">
        <x:f>J122-M122</x:f>
      </x:c>
      <x:c r="S122" s="11">
        <x:f>IF(I122="Revenue",N122,-N122)</x:f>
      </x:c>
      <x:c r="T122">
        <x:f>IF(S122&gt;=0,"Favourable","Unfavourable")</x:f>
      </x:c>
      <x:c r="U122" s="11" t="n">
        <x:v>0.02</x:v>
      </x:c>
      <x:c r="V122" s="11" t="n">
        <x:v>-0.01</x:v>
      </x:c>
      <x:c r="W122" s="11" t="n">
        <x:v>0</x:v>
      </x:c>
      <x:c r="X122" s="11" t="n">
        <x:v>0</x:v>
      </x:c>
      <x:c r="Y122" s="11">
        <x:f>ROUND(U122+V122+W122+X122-N122,2)</x:f>
      </x:c>
      <x:c r="Z122">
        <x:f>IF(AND(ABS(ROUND(N122,2))&gt;=0.5,ABS(O122)&gt;=0.05),"Yes","No")</x:f>
      </x:c>
      <x:c r="AA122" t="inlineStr">
        <x:is>
          <x:t xml:space="preserve">Closed actual</x:t>
        </x:is>
      </x:c>
      <x:c r="AB122" t="inlineStr">
        <x:is>
          <x:t xml:space="preserve"/>
        </x:is>
      </x:c>
      <x:c r="AC122" t="inlineStr">
        <x:is>
          <x:t xml:space="preserve"/>
        </x:is>
      </x:c>
      <x:c r="AD122" t="inlineStr">
        <x:is>
          <x:t xml:space="preserve">Synthetic - CIE training only</x:t>
        </x:is>
      </x:c>
    </x:row>
    <x:row r="123">
      <x:c r="A123" t="inlineStr">
        <x:is>
          <x:t xml:space="preserve">FIN-0118</x:t>
        </x:is>
      </x:c>
      <x:c r="B123" t="inlineStr">
        <x:is>
          <x:t xml:space="preserve">P09 Sep-2026</x:t>
        </x:is>
      </x:c>
      <x:c r="C123" s="10" t="n">
        <x:v>46295</x:v>
      </x:c>
      <x:c r="D123" t="inlineStr">
        <x:is>
          <x:t xml:space="preserve">Region Atlas</x:t>
        </x:is>
      </x:c>
      <x:c r="E123" t="inlineStr">
        <x:is>
          <x:t xml:space="preserve">Eastvale</x:t>
        </x:is>
      </x:c>
      <x:c r="F123" t="inlineStr">
        <x:is>
          <x:t xml:space="preserve">Commercial</x:t>
        </x:is>
      </x:c>
      <x:c r="G123" t="inlineStr">
        <x:is>
          <x:t xml:space="preserve">EV-COM-100</x:t>
        </x:is>
      </x:c>
      <x:c r="H123" t="inlineStr">
        <x:is>
          <x:t xml:space="preserve">Net Revenue</x:t>
        </x:is>
      </x:c>
      <x:c r="I123" t="inlineStr">
        <x:is>
          <x:t xml:space="preserve">Revenue</x:t>
        </x:is>
      </x:c>
      <x:c r="J123" s="11" t="n">
        <x:v>53.45</x:v>
      </x:c>
      <x:c r="K123" s="11" t="n">
        <x:v>59.94</x:v>
      </x:c>
      <x:c r="L123" s="11" t="n">
        <x:v>56.97</x:v>
      </x:c>
      <x:c r="M123" s="11" t="n">
        <x:v>59.17</x:v>
      </x:c>
      <x:c r="N123" s="11">
        <x:f>J123-K123</x:f>
      </x:c>
      <x:c r="O123" s="12">
        <x:f>IF(K123=0,0,N123/K123)</x:f>
      </x:c>
      <x:c r="P123" s="11">
        <x:f>J123-L123</x:f>
      </x:c>
      <x:c r="Q123" s="12">
        <x:f>IF(L123=0,0,P123/L123)</x:f>
      </x:c>
      <x:c r="R123" s="11">
        <x:f>J123-M123</x:f>
      </x:c>
      <x:c r="S123" s="11">
        <x:f>IF(I123="Revenue",N123,-N123)</x:f>
      </x:c>
      <x:c r="T123">
        <x:f>IF(S123&gt;=0,"Favourable","Unfavourable")</x:f>
      </x:c>
      <x:c r="U123" s="11" t="n">
        <x:v>-5.6</x:v>
      </x:c>
      <x:c r="V123" s="11" t="n">
        <x:v>-0.72</x:v>
      </x:c>
      <x:c r="W123" s="11" t="n">
        <x:v>-0.03</x:v>
      </x:c>
      <x:c r="X123" s="11" t="n">
        <x:v>-0.14</x:v>
      </x:c>
      <x:c r="Y123" s="11">
        <x:f>ROUND(U123+V123+W123+X123-N123,2)</x:f>
      </x:c>
      <x:c r="Z123">
        <x:f>IF(AND(ABS(ROUND(N123,2))&gt;=0.5,ABS(O123)&gt;=0.05),"Yes","No")</x:f>
      </x:c>
      <x:c r="AA123" t="inlineStr">
        <x:is>
          <x:t xml:space="preserve">Closed actual</x:t>
        </x:is>
      </x:c>
      <x:c r="AB123" t="inlineStr">
        <x:is>
          <x:t xml:space="preserve">Volume shortfall vs plan in two key channels (fictional); recovery not yet evidenced</x:t>
        </x:is>
      </x:c>
      <x:c r="AC123" t="inlineStr">
        <x:is>
          <x:t xml:space="preserve"/>
        </x:is>
      </x:c>
      <x:c r="AD123" t="inlineStr">
        <x:is>
          <x:t xml:space="preserve">Synthetic - CIE training only</x:t>
        </x:is>
      </x:c>
    </x:row>
    <x:row r="124">
      <x:c r="A124" t="inlineStr">
        <x:is>
          <x:t xml:space="preserve">FIN-0119</x:t>
        </x:is>
      </x:c>
      <x:c r="B124" t="inlineStr">
        <x:is>
          <x:t xml:space="preserve">P09 Sep-2026</x:t>
        </x:is>
      </x:c>
      <x:c r="C124" s="10" t="n">
        <x:v>46295</x:v>
      </x:c>
      <x:c r="D124" t="inlineStr">
        <x:is>
          <x:t xml:space="preserve">Region Atlas</x:t>
        </x:is>
      </x:c>
      <x:c r="E124" t="inlineStr">
        <x:is>
          <x:t xml:space="preserve">Eastvale</x:t>
        </x:is>
      </x:c>
      <x:c r="F124" t="inlineStr">
        <x:is>
          <x:t xml:space="preserve">Finance</x:t>
        </x:is>
      </x:c>
      <x:c r="G124" t="inlineStr">
        <x:is>
          <x:t xml:space="preserve">EV-FIN-900</x:t>
        </x:is>
      </x:c>
      <x:c r="H124" t="inlineStr">
        <x:is>
          <x:t xml:space="preserve">Other Operating Income</x:t>
        </x:is>
      </x:c>
      <x:c r="I124" t="inlineStr">
        <x:is>
          <x:t xml:space="preserve">Revenue</x:t>
        </x:is>
      </x:c>
      <x:c r="J124" s="11" t="n">
        <x:v>1.52</x:v>
      </x:c>
      <x:c r="K124" s="11" t="n">
        <x:v>1.47</x:v>
      </x:c>
      <x:c r="L124" s="11" t="n">
        <x:v>1.42</x:v>
      </x:c>
      <x:c r="M124" s="11" t="n">
        <x:v>1.54</x:v>
      </x:c>
      <x:c r="N124" s="11">
        <x:f>J124-K124</x:f>
      </x:c>
      <x:c r="O124" s="12">
        <x:f>IF(K124=0,0,N124/K124)</x:f>
      </x:c>
      <x:c r="P124" s="11">
        <x:f>J124-L124</x:f>
      </x:c>
      <x:c r="Q124" s="12">
        <x:f>IF(L124=0,0,P124/L124)</x:f>
      </x:c>
      <x:c r="R124" s="11">
        <x:f>J124-M124</x:f>
      </x:c>
      <x:c r="S124" s="11">
        <x:f>IF(I124="Revenue",N124,-N124)</x:f>
      </x:c>
      <x:c r="T124">
        <x:f>IF(S124&gt;=0,"Favourable","Unfavourable")</x:f>
      </x:c>
      <x:c r="U124" s="11" t="n">
        <x:v>0.02</x:v>
      </x:c>
      <x:c r="V124" s="11" t="n">
        <x:v>0.03</x:v>
      </x:c>
      <x:c r="W124" s="11" t="n">
        <x:v>0</x:v>
      </x:c>
      <x:c r="X124" s="11" t="n">
        <x:v>0</x:v>
      </x:c>
      <x:c r="Y124" s="11">
        <x:f>ROUND(U124+V124+W124+X124-N124,2)</x:f>
      </x:c>
      <x:c r="Z124">
        <x:f>IF(AND(ABS(ROUND(N124,2))&gt;=0.5,ABS(O124)&gt;=0.05),"Yes","No")</x:f>
      </x:c>
      <x:c r="AA124" t="inlineStr">
        <x:is>
          <x:t xml:space="preserve">Closed actual</x:t>
        </x:is>
      </x:c>
      <x:c r="AB124" t="inlineStr">
        <x:is>
          <x:t xml:space="preserve"/>
        </x:is>
      </x:c>
      <x:c r="AC124" t="inlineStr">
        <x:is>
          <x:t xml:space="preserve"/>
        </x:is>
      </x:c>
      <x:c r="AD124" t="inlineStr">
        <x:is>
          <x:t xml:space="preserve">Synthetic - CIE training only</x:t>
        </x:is>
      </x:c>
    </x:row>
    <x:row r="125">
      <x:c r="A125" t="inlineStr">
        <x:is>
          <x:t xml:space="preserve">FIN-0120</x:t>
        </x:is>
      </x:c>
      <x:c r="B125" t="inlineStr">
        <x:is>
          <x:t xml:space="preserve">P09 Sep-2026</x:t>
        </x:is>
      </x:c>
      <x:c r="C125" s="10" t="n">
        <x:v>46295</x:v>
      </x:c>
      <x:c r="D125" t="inlineStr">
        <x:is>
          <x:t xml:space="preserve">Region Atlas</x:t>
        </x:is>
      </x:c>
      <x:c r="E125" t="inlineStr">
        <x:is>
          <x:t xml:space="preserve">Eastvale</x:t>
        </x:is>
      </x:c>
      <x:c r="F125" t="inlineStr">
        <x:is>
          <x:t xml:space="preserve">Operations</x:t>
        </x:is>
      </x:c>
      <x:c r="G125" t="inlineStr">
        <x:is>
          <x:t xml:space="preserve">EV-OPS-200</x:t>
        </x:is>
      </x:c>
      <x:c r="H125" t="inlineStr">
        <x:is>
          <x:t xml:space="preserve">Cost of Goods Sold</x:t>
        </x:is>
      </x:c>
      <x:c r="I125" t="inlineStr">
        <x:is>
          <x:t xml:space="preserve">Cost</x:t>
        </x:is>
      </x:c>
      <x:c r="J125" s="11" t="n">
        <x:v>19.71</x:v>
      </x:c>
      <x:c r="K125" s="11" t="n">
        <x:v>20.9</x:v>
      </x:c>
      <x:c r="L125" s="11" t="n">
        <x:v>19.98</x:v>
      </x:c>
      <x:c r="M125" s="11" t="n">
        <x:v>19.63</x:v>
      </x:c>
      <x:c r="N125" s="11">
        <x:f>J125-K125</x:f>
      </x:c>
      <x:c r="O125" s="12">
        <x:f>IF(K125=0,0,N125/K125)</x:f>
      </x:c>
      <x:c r="P125" s="11">
        <x:f>J125-L125</x:f>
      </x:c>
      <x:c r="Q125" s="12">
        <x:f>IF(L125=0,0,P125/L125)</x:f>
      </x:c>
      <x:c r="R125" s="11">
        <x:f>J125-M125</x:f>
      </x:c>
      <x:c r="S125" s="11">
        <x:f>IF(I125="Revenue",N125,-N125)</x:f>
      </x:c>
      <x:c r="T125">
        <x:f>IF(S125&gt;=0,"Favourable","Unfavourable")</x:f>
      </x:c>
      <x:c r="U125" s="11" t="n">
        <x:v>-1.45</x:v>
      </x:c>
      <x:c r="V125" s="11" t="n">
        <x:v>0.25</x:v>
      </x:c>
      <x:c r="W125" s="11" t="n">
        <x:v>-0.02</x:v>
      </x:c>
      <x:c r="X125" s="11" t="n">
        <x:v>0.03</x:v>
      </x:c>
      <x:c r="Y125" s="11">
        <x:f>ROUND(U125+V125+W125+X125-N125,2)</x:f>
      </x:c>
      <x:c r="Z125">
        <x:f>IF(AND(ABS(ROUND(N125,2))&gt;=0.5,ABS(O125)&gt;=0.05),"Yes","No")</x:f>
      </x:c>
      <x:c r="AA125" t="inlineStr">
        <x:is>
          <x:t xml:space="preserve">Closed actual</x:t>
        </x:is>
      </x:c>
      <x:c r="AB125" t="inlineStr">
        <x:is>
          <x:t xml:space="preserve"/>
        </x:is>
      </x:c>
      <x:c r="AC125" t="inlineStr">
        <x:is>
          <x:t xml:space="preserve">Lower COGS follows lower volume - not an efficiency saving</x:t>
        </x:is>
      </x:c>
      <x:c r="AD125" t="inlineStr">
        <x:is>
          <x:t xml:space="preserve">Synthetic - CIE training only</x:t>
        </x:is>
      </x:c>
    </x:row>
    <x:row r="126">
      <x:c r="A126" t="inlineStr">
        <x:is>
          <x:t xml:space="preserve">FIN-0121</x:t>
        </x:is>
      </x:c>
      <x:c r="B126" t="inlineStr">
        <x:is>
          <x:t xml:space="preserve">P09 Sep-2026</x:t>
        </x:is>
      </x:c>
      <x:c r="C126" s="10" t="n">
        <x:v>46295</x:v>
      </x:c>
      <x:c r="D126" t="inlineStr">
        <x:is>
          <x:t xml:space="preserve">Region Atlas</x:t>
        </x:is>
      </x:c>
      <x:c r="E126" t="inlineStr">
        <x:is>
          <x:t xml:space="preserve">Eastvale</x:t>
        </x:is>
      </x:c>
      <x:c r="F126" t="inlineStr">
        <x:is>
          <x:t xml:space="preserve">Supply Chain</x:t>
        </x:is>
      </x:c>
      <x:c r="G126" t="inlineStr">
        <x:is>
          <x:t xml:space="preserve">EV-SCM-300</x:t>
        </x:is>
      </x:c>
      <x:c r="H126" t="inlineStr">
        <x:is>
          <x:t xml:space="preserve">Logistics &amp; Distribution</x:t>
        </x:is>
      </x:c>
      <x:c r="I126" t="inlineStr">
        <x:is>
          <x:t xml:space="preserve">Cost</x:t>
        </x:is>
      </x:c>
      <x:c r="J126" s="11" t="n">
        <x:v>4.28</x:v>
      </x:c>
      <x:c r="K126" s="11" t="n">
        <x:v>4.35</x:v>
      </x:c>
      <x:c r="L126" s="11" t="n">
        <x:v>4.29</x:v>
      </x:c>
      <x:c r="M126" s="11" t="n">
        <x:v>4.22</x:v>
      </x:c>
      <x:c r="N126" s="11">
        <x:f>J126-K126</x:f>
      </x:c>
      <x:c r="O126" s="12">
        <x:f>IF(K126=0,0,N126/K126)</x:f>
      </x:c>
      <x:c r="P126" s="11">
        <x:f>J126-L126</x:f>
      </x:c>
      <x:c r="Q126" s="12">
        <x:f>IF(L126=0,0,P126/L126)</x:f>
      </x:c>
      <x:c r="R126" s="11">
        <x:f>J126-M126</x:f>
      </x:c>
      <x:c r="S126" s="11">
        <x:f>IF(I126="Revenue",N126,-N126)</x:f>
      </x:c>
      <x:c r="T126">
        <x:f>IF(S126&gt;=0,"Favourable","Unfavourable")</x:f>
      </x:c>
      <x:c r="U126" s="11" t="n">
        <x:v>-0.03</x:v>
      </x:c>
      <x:c r="V126" s="11" t="n">
        <x:v>-0.05</x:v>
      </x:c>
      <x:c r="W126" s="11" t="n">
        <x:v>0.03</x:v>
      </x:c>
      <x:c r="X126" s="11" t="n">
        <x:v>-0.02</x:v>
      </x:c>
      <x:c r="Y126" s="11">
        <x:f>ROUND(U126+V126+W126+X126-N126,2)</x:f>
      </x:c>
      <x:c r="Z126">
        <x:f>IF(AND(ABS(ROUND(N126,2))&gt;=0.5,ABS(O126)&gt;=0.05),"Yes","No")</x:f>
      </x:c>
      <x:c r="AA126" t="inlineStr">
        <x:is>
          <x:t xml:space="preserve">Closed actual</x:t>
        </x:is>
      </x:c>
      <x:c r="AB126" t="inlineStr">
        <x:is>
          <x:t xml:space="preserve"/>
        </x:is>
      </x:c>
      <x:c r="AC126" t="inlineStr">
        <x:is>
          <x:t xml:space="preserve"/>
        </x:is>
      </x:c>
      <x:c r="AD126" t="inlineStr">
        <x:is>
          <x:t xml:space="preserve">Synthetic - CIE training only</x:t>
        </x:is>
      </x:c>
    </x:row>
    <x:row r="127">
      <x:c r="A127" t="inlineStr">
        <x:is>
          <x:t xml:space="preserve">FIN-0122</x:t>
        </x:is>
      </x:c>
      <x:c r="B127" t="inlineStr">
        <x:is>
          <x:t xml:space="preserve">P09 Sep-2026</x:t>
        </x:is>
      </x:c>
      <x:c r="C127" s="10" t="n">
        <x:v>46295</x:v>
      </x:c>
      <x:c r="D127" t="inlineStr">
        <x:is>
          <x:t xml:space="preserve">Region Atlas</x:t>
        </x:is>
      </x:c>
      <x:c r="E127" t="inlineStr">
        <x:is>
          <x:t xml:space="preserve">Eastvale</x:t>
        </x:is>
      </x:c>
      <x:c r="F127" t="inlineStr">
        <x:is>
          <x:t xml:space="preserve">Marketing</x:t>
        </x:is>
      </x:c>
      <x:c r="G127" t="inlineStr">
        <x:is>
          <x:t xml:space="preserve">EV-MKT-400</x:t>
        </x:is>
      </x:c>
      <x:c r="H127" t="inlineStr">
        <x:is>
          <x:t xml:space="preserve">Trade Marketing Investment</x:t>
        </x:is>
      </x:c>
      <x:c r="I127" t="inlineStr">
        <x:is>
          <x:t xml:space="preserve">Cost</x:t>
        </x:is>
      </x:c>
      <x:c r="J127" s="11" t="n">
        <x:v>5.71</x:v>
      </x:c>
      <x:c r="K127" s="11" t="n">
        <x:v>5.76</x:v>
      </x:c>
      <x:c r="L127" s="11" t="n">
        <x:v>5.61</x:v>
      </x:c>
      <x:c r="M127" s="11" t="n">
        <x:v>5.81</x:v>
      </x:c>
      <x:c r="N127" s="11">
        <x:f>J127-K127</x:f>
      </x:c>
      <x:c r="O127" s="12">
        <x:f>IF(K127=0,0,N127/K127)</x:f>
      </x:c>
      <x:c r="P127" s="11">
        <x:f>J127-L127</x:f>
      </x:c>
      <x:c r="Q127" s="12">
        <x:f>IF(L127=0,0,P127/L127)</x:f>
      </x:c>
      <x:c r="R127" s="11">
        <x:f>J127-M127</x:f>
      </x:c>
      <x:c r="S127" s="11">
        <x:f>IF(I127="Revenue",N127,-N127)</x:f>
      </x:c>
      <x:c r="T127">
        <x:f>IF(S127&gt;=0,"Favourable","Unfavourable")</x:f>
      </x:c>
      <x:c r="U127" s="11" t="n">
        <x:v>-0.07000000000000001</x:v>
      </x:c>
      <x:c r="V127" s="11" t="n">
        <x:v>0.01</x:v>
      </x:c>
      <x:c r="W127" s="11" t="n">
        <x:v>0.02</x:v>
      </x:c>
      <x:c r="X127" s="11" t="n">
        <x:v>-0.01</x:v>
      </x:c>
      <x:c r="Y127" s="11">
        <x:f>ROUND(U127+V127+W127+X127-N127,2)</x:f>
      </x:c>
      <x:c r="Z127">
        <x:f>IF(AND(ABS(ROUND(N127,2))&gt;=0.5,ABS(O127)&gt;=0.05),"Yes","No")</x:f>
      </x:c>
      <x:c r="AA127" t="inlineStr">
        <x:is>
          <x:t xml:space="preserve">Closed actual</x:t>
        </x:is>
      </x:c>
      <x:c r="AB127" t="inlineStr">
        <x:is>
          <x:t xml:space="preserve"/>
        </x:is>
      </x:c>
      <x:c r="AC127" t="inlineStr">
        <x:is>
          <x:t xml:space="preserve"/>
        </x:is>
      </x:c>
      <x:c r="AD127" t="inlineStr">
        <x:is>
          <x:t xml:space="preserve">Synthetic - CIE training only</x:t>
        </x:is>
      </x:c>
    </x:row>
    <x:row r="128">
      <x:c r="A128" t="inlineStr">
        <x:is>
          <x:t xml:space="preserve">FIN-0123</x:t>
        </x:is>
      </x:c>
      <x:c r="B128" t="inlineStr">
        <x:is>
          <x:t xml:space="preserve">P09 Sep-2026</x:t>
        </x:is>
      </x:c>
      <x:c r="C128" s="10" t="n">
        <x:v>46295</x:v>
      </x:c>
      <x:c r="D128" t="inlineStr">
        <x:is>
          <x:t xml:space="preserve">Region Atlas</x:t>
        </x:is>
      </x:c>
      <x:c r="E128" t="inlineStr">
        <x:is>
          <x:t xml:space="preserve">Eastvale</x:t>
        </x:is>
      </x:c>
      <x:c r="F128" t="inlineStr">
        <x:is>
          <x:t xml:space="preserve">Commercial</x:t>
        </x:is>
      </x:c>
      <x:c r="G128" t="inlineStr">
        <x:is>
          <x:t xml:space="preserve">EV-COM-110</x:t>
        </x:is>
      </x:c>
      <x:c r="H128" t="inlineStr">
        <x:is>
          <x:t xml:space="preserve">Sales Force Cost</x:t>
        </x:is>
      </x:c>
      <x:c r="I128" t="inlineStr">
        <x:is>
          <x:t xml:space="preserve">Cost</x:t>
        </x:is>
      </x:c>
      <x:c r="J128" s="11" t="n">
        <x:v>3.47</x:v>
      </x:c>
      <x:c r="K128" s="11" t="n">
        <x:v>3.5</x:v>
      </x:c>
      <x:c r="L128" s="11" t="n">
        <x:v>3.27</x:v>
      </x:c>
      <x:c r="M128" s="11" t="n">
        <x:v>3.42</x:v>
      </x:c>
      <x:c r="N128" s="11">
        <x:f>J128-K128</x:f>
      </x:c>
      <x:c r="O128" s="12">
        <x:f>IF(K128=0,0,N128/K128)</x:f>
      </x:c>
      <x:c r="P128" s="11">
        <x:f>J128-L128</x:f>
      </x:c>
      <x:c r="Q128" s="12">
        <x:f>IF(L128=0,0,P128/L128)</x:f>
      </x:c>
      <x:c r="R128" s="11">
        <x:f>J128-M128</x:f>
      </x:c>
      <x:c r="S128" s="11">
        <x:f>IF(I128="Revenue",N128,-N128)</x:f>
      </x:c>
      <x:c r="T128">
        <x:f>IF(S128&gt;=0,"Favourable","Unfavourable")</x:f>
      </x:c>
      <x:c r="U128" s="11" t="n">
        <x:v>0</x:v>
      </x:c>
      <x:c r="V128" s="11" t="n">
        <x:v>-0.03</x:v>
      </x:c>
      <x:c r="W128" s="11" t="n">
        <x:v>-0.01</x:v>
      </x:c>
      <x:c r="X128" s="11" t="n">
        <x:v>0.01</x:v>
      </x:c>
      <x:c r="Y128" s="11">
        <x:f>ROUND(U128+V128+W128+X128-N128,2)</x:f>
      </x:c>
      <x:c r="Z128">
        <x:f>IF(AND(ABS(ROUND(N128,2))&gt;=0.5,ABS(O128)&gt;=0.05),"Yes","No")</x:f>
      </x:c>
      <x:c r="AA128" t="inlineStr">
        <x:is>
          <x:t xml:space="preserve">Closed actual</x:t>
        </x:is>
      </x:c>
      <x:c r="AB128" t="inlineStr">
        <x:is>
          <x:t xml:space="preserve"/>
        </x:is>
      </x:c>
      <x:c r="AC128" t="inlineStr">
        <x:is>
          <x:t xml:space="preserve"/>
        </x:is>
      </x:c>
      <x:c r="AD128" t="inlineStr">
        <x:is>
          <x:t xml:space="preserve">Synthetic - CIE training only</x:t>
        </x:is>
      </x:c>
    </x:row>
    <x:row r="129">
      <x:c r="A129" t="inlineStr">
        <x:is>
          <x:t xml:space="preserve">FIN-0124</x:t>
        </x:is>
      </x:c>
      <x:c r="B129" t="inlineStr">
        <x:is>
          <x:t xml:space="preserve">P09 Sep-2026</x:t>
        </x:is>
      </x:c>
      <x:c r="C129" s="10" t="n">
        <x:v>46295</x:v>
      </x:c>
      <x:c r="D129" t="inlineStr">
        <x:is>
          <x:t xml:space="preserve">Region Atlas</x:t>
        </x:is>
      </x:c>
      <x:c r="E129" t="inlineStr">
        <x:is>
          <x:t xml:space="preserve">Eastvale</x:t>
        </x:is>
      </x:c>
      <x:c r="F129" t="inlineStr">
        <x:is>
          <x:t xml:space="preserve">Digital &amp; IT</x:t>
        </x:is>
      </x:c>
      <x:c r="G129" t="inlineStr">
        <x:is>
          <x:t xml:space="preserve">EV-DIT-500</x:t>
        </x:is>
      </x:c>
      <x:c r="H129" t="inlineStr">
        <x:is>
          <x:t xml:space="preserve">Digital &amp; IT Cost</x:t>
        </x:is>
      </x:c>
      <x:c r="I129" t="inlineStr">
        <x:is>
          <x:t xml:space="preserve">Cost</x:t>
        </x:is>
      </x:c>
      <x:c r="J129" s="11" t="n">
        <x:v>2.44</x:v>
      </x:c>
      <x:c r="K129" s="11" t="n">
        <x:v>2.47</x:v>
      </x:c>
      <x:c r="L129" s="11" t="n">
        <x:v>2.32</x:v>
      </x:c>
      <x:c r="M129" s="11" t="n">
        <x:v>2.44</x:v>
      </x:c>
      <x:c r="N129" s="11">
        <x:f>J129-K129</x:f>
      </x:c>
      <x:c r="O129" s="12">
        <x:f>IF(K129=0,0,N129/K129)</x:f>
      </x:c>
      <x:c r="P129" s="11">
        <x:f>J129-L129</x:f>
      </x:c>
      <x:c r="Q129" s="12">
        <x:f>IF(L129=0,0,P129/L129)</x:f>
      </x:c>
      <x:c r="R129" s="11">
        <x:f>J129-M129</x:f>
      </x:c>
      <x:c r="S129" s="11">
        <x:f>IF(I129="Revenue",N129,-N129)</x:f>
      </x:c>
      <x:c r="T129">
        <x:f>IF(S129&gt;=0,"Favourable","Unfavourable")</x:f>
      </x:c>
      <x:c r="U129" s="11" t="n">
        <x:v>0</x:v>
      </x:c>
      <x:c r="V129" s="11" t="n">
        <x:v>-0.01</x:v>
      </x:c>
      <x:c r="W129" s="11" t="n">
        <x:v>0</x:v>
      </x:c>
      <x:c r="X129" s="11" t="n">
        <x:v>-0.02</x:v>
      </x:c>
      <x:c r="Y129" s="11">
        <x:f>ROUND(U129+V129+W129+X129-N129,2)</x:f>
      </x:c>
      <x:c r="Z129">
        <x:f>IF(AND(ABS(ROUND(N129,2))&gt;=0.5,ABS(O129)&gt;=0.05),"Yes","No")</x:f>
      </x:c>
      <x:c r="AA129" t="inlineStr">
        <x:is>
          <x:t xml:space="preserve">Closed actual</x:t>
        </x:is>
      </x:c>
      <x:c r="AB129" t="inlineStr">
        <x:is>
          <x:t xml:space="preserve"/>
        </x:is>
      </x:c>
      <x:c r="AC129" t="inlineStr">
        <x:is>
          <x:t xml:space="preserve"/>
        </x:is>
      </x:c>
      <x:c r="AD129" t="inlineStr">
        <x:is>
          <x:t xml:space="preserve">Synthetic - CIE training only</x:t>
        </x:is>
      </x:c>
    </x:row>
    <x:row r="130">
      <x:c r="A130" t="inlineStr">
        <x:is>
          <x:t xml:space="preserve">FIN-0125</x:t>
        </x:is>
      </x:c>
      <x:c r="B130" t="inlineStr">
        <x:is>
          <x:t xml:space="preserve">P09 Sep-2026</x:t>
        </x:is>
      </x:c>
      <x:c r="C130" s="10" t="n">
        <x:v>46295</x:v>
      </x:c>
      <x:c r="D130" t="inlineStr">
        <x:is>
          <x:t xml:space="preserve">Region Atlas</x:t>
        </x:is>
      </x:c>
      <x:c r="E130" t="inlineStr">
        <x:is>
          <x:t xml:space="preserve">Eastvale</x:t>
        </x:is>
      </x:c>
      <x:c r="F130" t="inlineStr">
        <x:is>
          <x:t xml:space="preserve">Finance</x:t>
        </x:is>
      </x:c>
      <x:c r="G130" t="inlineStr">
        <x:is>
          <x:t xml:space="preserve">EV-FIN-600</x:t>
        </x:is>
      </x:c>
      <x:c r="H130" t="inlineStr">
        <x:is>
          <x:t xml:space="preserve">General &amp; Admin Cost</x:t>
        </x:is>
      </x:c>
      <x:c r="I130" t="inlineStr">
        <x:is>
          <x:t xml:space="preserve">Cost</x:t>
        </x:is>
      </x:c>
      <x:c r="J130" s="11" t="n">
        <x:v>1.96</x:v>
      </x:c>
      <x:c r="K130" s="11" t="n">
        <x:v>1.98</x:v>
      </x:c>
      <x:c r="L130" s="11" t="n">
        <x:v>1.91</x:v>
      </x:c>
      <x:c r="M130" s="11" t="n">
        <x:v>1.95</x:v>
      </x:c>
      <x:c r="N130" s="11">
        <x:f>J130-K130</x:f>
      </x:c>
      <x:c r="O130" s="12">
        <x:f>IF(K130=0,0,N130/K130)</x:f>
      </x:c>
      <x:c r="P130" s="11">
        <x:f>J130-L130</x:f>
      </x:c>
      <x:c r="Q130" s="12">
        <x:f>IF(L130=0,0,P130/L130)</x:f>
      </x:c>
      <x:c r="R130" s="11">
        <x:f>J130-M130</x:f>
      </x:c>
      <x:c r="S130" s="11">
        <x:f>IF(I130="Revenue",N130,-N130)</x:f>
      </x:c>
      <x:c r="T130">
        <x:f>IF(S130&gt;=0,"Favourable","Unfavourable")</x:f>
      </x:c>
      <x:c r="U130" s="11" t="n">
        <x:v>-0.01</x:v>
      </x:c>
      <x:c r="V130" s="11" t="n">
        <x:v>-0.02</x:v>
      </x:c>
      <x:c r="W130" s="11" t="n">
        <x:v>0.01</x:v>
      </x:c>
      <x:c r="X130" s="11" t="n">
        <x:v>0</x:v>
      </x:c>
      <x:c r="Y130" s="11">
        <x:f>ROUND(U130+V130+W130+X130-N130,2)</x:f>
      </x:c>
      <x:c r="Z130">
        <x:f>IF(AND(ABS(ROUND(N130,2))&gt;=0.5,ABS(O130)&gt;=0.05),"Yes","No")</x:f>
      </x:c>
      <x:c r="AA130" t="inlineStr">
        <x:is>
          <x:t xml:space="preserve">Closed actual</x:t>
        </x:is>
      </x:c>
      <x:c r="AB130" t="inlineStr">
        <x:is>
          <x:t xml:space="preserve"/>
        </x:is>
      </x:c>
      <x:c r="AC130" t="inlineStr">
        <x:is>
          <x:t xml:space="preserve"/>
        </x:is>
      </x:c>
      <x:c r="AD130" t="inlineStr">
        <x:is>
          <x:t xml:space="preserve">Synthetic - CIE training only</x:t>
        </x:is>
      </x:c>
    </x:row>
    <x:row r="131">
      <x:c r="A131" t="inlineStr">
        <x:is>
          <x:t xml:space="preserve">FIN-0126</x:t>
        </x:is>
      </x:c>
      <x:c r="B131" t="inlineStr">
        <x:is>
          <x:t xml:space="preserve">P09 Sep-2026</x:t>
        </x:is>
      </x:c>
      <x:c r="C131" s="10" t="n">
        <x:v>46295</x:v>
      </x:c>
      <x:c r="D131" t="inlineStr">
        <x:is>
          <x:t xml:space="preserve">Region Atlas</x:t>
        </x:is>
      </x:c>
      <x:c r="E131" t="inlineStr">
        <x:is>
          <x:t xml:space="preserve">Eastvale</x:t>
        </x:is>
      </x:c>
      <x:c r="F131" t="inlineStr">
        <x:is>
          <x:t xml:space="preserve">Operations</x:t>
        </x:is>
      </x:c>
      <x:c r="G131" t="inlineStr">
        <x:is>
          <x:t xml:space="preserve">EV-OPS-210</x:t>
        </x:is>
      </x:c>
      <x:c r="H131" t="inlineStr">
        <x:is>
          <x:t xml:space="preserve">Facilities Cost</x:t>
        </x:is>
      </x:c>
      <x:c r="I131" t="inlineStr">
        <x:is>
          <x:t xml:space="preserve">Cost</x:t>
        </x:is>
      </x:c>
      <x:c r="J131" s="11" t="n">
        <x:v>1.14</x:v>
      </x:c>
      <x:c r="K131" s="11" t="n">
        <x:v>1.13</x:v>
      </x:c>
      <x:c r="L131" s="11" t="n">
        <x:v>1.07</x:v>
      </x:c>
      <x:c r="M131" s="11" t="n">
        <x:v>1.13</x:v>
      </x:c>
      <x:c r="N131" s="11">
        <x:f>J131-K131</x:f>
      </x:c>
      <x:c r="O131" s="12">
        <x:f>IF(K131=0,0,N131/K131)</x:f>
      </x:c>
      <x:c r="P131" s="11">
        <x:f>J131-L131</x:f>
      </x:c>
      <x:c r="Q131" s="12">
        <x:f>IF(L131=0,0,P131/L131)</x:f>
      </x:c>
      <x:c r="R131" s="11">
        <x:f>J131-M131</x:f>
      </x:c>
      <x:c r="S131" s="11">
        <x:f>IF(I131="Revenue",N131,-N131)</x:f>
      </x:c>
      <x:c r="T131">
        <x:f>IF(S131&gt;=0,"Favourable","Unfavourable")</x:f>
      </x:c>
      <x:c r="U131" s="11" t="n">
        <x:v>0</x:v>
      </x:c>
      <x:c r="V131" s="11" t="n">
        <x:v>0.01</x:v>
      </x:c>
      <x:c r="W131" s="11" t="n">
        <x:v>0</x:v>
      </x:c>
      <x:c r="X131" s="11" t="n">
        <x:v>0</x:v>
      </x:c>
      <x:c r="Y131" s="11">
        <x:f>ROUND(U131+V131+W131+X131-N131,2)</x:f>
      </x:c>
      <x:c r="Z131">
        <x:f>IF(AND(ABS(ROUND(N131,2))&gt;=0.5,ABS(O131)&gt;=0.05),"Yes","No")</x:f>
      </x:c>
      <x:c r="AA131" t="inlineStr">
        <x:is>
          <x:t xml:space="preserve">Closed actual</x:t>
        </x:is>
      </x:c>
      <x:c r="AB131" t="inlineStr">
        <x:is>
          <x:t xml:space="preserve"/>
        </x:is>
      </x:c>
      <x:c r="AC131" t="inlineStr">
        <x:is>
          <x:t xml:space="preserve"/>
        </x:is>
      </x:c>
      <x:c r="AD131" t="inlineStr">
        <x:is>
          <x:t xml:space="preserve">Synthetic - CIE training only</x:t>
        </x:is>
      </x:c>
    </x:row>
    <x:row r="132">
      <x:c r="A132" t="inlineStr">
        <x:is>
          <x:t xml:space="preserve">FIN-0127</x:t>
        </x:is>
      </x:c>
      <x:c r="B132" t="inlineStr">
        <x:is>
          <x:t xml:space="preserve">P09 Sep-2026</x:t>
        </x:is>
      </x:c>
      <x:c r="C132" s="10" t="n">
        <x:v>46295</x:v>
      </x:c>
      <x:c r="D132" t="inlineStr">
        <x:is>
          <x:t xml:space="preserve">Region Atlas</x:t>
        </x:is>
      </x:c>
      <x:c r="E132" t="inlineStr">
        <x:is>
          <x:t xml:space="preserve">Southport</x:t>
        </x:is>
      </x:c>
      <x:c r="F132" t="inlineStr">
        <x:is>
          <x:t xml:space="preserve">Commercial</x:t>
        </x:is>
      </x:c>
      <x:c r="G132" t="inlineStr">
        <x:is>
          <x:t xml:space="preserve">SP-COM-100</x:t>
        </x:is>
      </x:c>
      <x:c r="H132" t="inlineStr">
        <x:is>
          <x:t xml:space="preserve">Net Revenue</x:t>
        </x:is>
      </x:c>
      <x:c r="I132" t="inlineStr">
        <x:is>
          <x:t xml:space="preserve">Revenue</x:t>
        </x:is>
      </x:c>
      <x:c r="J132" s="11" t="n">
        <x:v>48.94</x:v>
      </x:c>
      <x:c r="K132" s="11" t="n">
        <x:v>52.45</x:v>
      </x:c>
      <x:c r="L132" s="11" t="n">
        <x:v>50.99</x:v>
      </x:c>
      <x:c r="M132" s="11" t="n">
        <x:v>48.89</x:v>
      </x:c>
      <x:c r="N132" s="11">
        <x:f>J132-K132</x:f>
      </x:c>
      <x:c r="O132" s="12">
        <x:f>IF(K132=0,0,N132/K132)</x:f>
      </x:c>
      <x:c r="P132" s="11">
        <x:f>J132-L132</x:f>
      </x:c>
      <x:c r="Q132" s="12">
        <x:f>IF(L132=0,0,P132/L132)</x:f>
      </x:c>
      <x:c r="R132" s="11">
        <x:f>J132-M132</x:f>
      </x:c>
      <x:c r="S132" s="11">
        <x:f>IF(I132="Revenue",N132,-N132)</x:f>
      </x:c>
      <x:c r="T132">
        <x:f>IF(S132&gt;=0,"Favourable","Unfavourable")</x:f>
      </x:c>
      <x:c r="U132" s="11" t="n">
        <x:v>0.31</x:v>
      </x:c>
      <x:c r="V132" s="11" t="n">
        <x:v>0.08</x:v>
      </x:c>
      <x:c r="W132" s="11" t="n">
        <x:v>-3.74</x:v>
      </x:c>
      <x:c r="X132" s="11" t="n">
        <x:v>-0.16</x:v>
      </x:c>
      <x:c r="Y132" s="11">
        <x:f>ROUND(U132+V132+W132+X132-N132,2)</x:f>
      </x:c>
      <x:c r="Z132">
        <x:f>IF(AND(ABS(ROUND(N132,2))&gt;=0.5,ABS(O132)&gt;=0.05),"Yes","No")</x:f>
      </x:c>
      <x:c r="AA132" t="inlineStr">
        <x:is>
          <x:t xml:space="preserve">Closed actual</x:t>
        </x:is>
      </x:c>
      <x:c r="AB132" t="inlineStr">
        <x:is>
          <x:t xml:space="preserve">Local currency weaker than budget rate; Q4 rate basis to be confirmed by Treasury</x:t>
        </x:is>
      </x:c>
      <x:c r="AC132" t="inlineStr">
        <x:is>
          <x:t xml:space="preserve"/>
        </x:is>
      </x:c>
      <x:c r="AD132" t="inlineStr">
        <x:is>
          <x:t xml:space="preserve">Synthetic - CIE training only</x:t>
        </x:is>
      </x:c>
    </x:row>
    <x:row r="133">
      <x:c r="A133" t="inlineStr">
        <x:is>
          <x:t xml:space="preserve">FIN-0128</x:t>
        </x:is>
      </x:c>
      <x:c r="B133" t="inlineStr">
        <x:is>
          <x:t xml:space="preserve">P09 Sep-2026</x:t>
        </x:is>
      </x:c>
      <x:c r="C133" s="10" t="n">
        <x:v>46295</x:v>
      </x:c>
      <x:c r="D133" t="inlineStr">
        <x:is>
          <x:t xml:space="preserve">Region Atlas</x:t>
        </x:is>
      </x:c>
      <x:c r="E133" t="inlineStr">
        <x:is>
          <x:t xml:space="preserve">Southport</x:t>
        </x:is>
      </x:c>
      <x:c r="F133" t="inlineStr">
        <x:is>
          <x:t xml:space="preserve">Finance</x:t>
        </x:is>
      </x:c>
      <x:c r="G133" t="inlineStr">
        <x:is>
          <x:t xml:space="preserve">SP-FIN-900</x:t>
        </x:is>
      </x:c>
      <x:c r="H133" t="inlineStr">
        <x:is>
          <x:t xml:space="preserve">Other Operating Income</x:t>
        </x:is>
      </x:c>
      <x:c r="I133" t="inlineStr">
        <x:is>
          <x:t xml:space="preserve">Revenue</x:t>
        </x:is>
      </x:c>
      <x:c r="J133" s="11" t="n">
        <x:v>1.4</x:v>
      </x:c>
      <x:c r="K133" s="11" t="n">
        <x:v>1.35</x:v>
      </x:c>
      <x:c r="L133" s="11" t="n">
        <x:v>1.33</x:v>
      </x:c>
      <x:c r="M133" s="11" t="n">
        <x:v>1.38</x:v>
      </x:c>
      <x:c r="N133" s="11">
        <x:f>J133-K133</x:f>
      </x:c>
      <x:c r="O133" s="12">
        <x:f>IF(K133=0,0,N133/K133)</x:f>
      </x:c>
      <x:c r="P133" s="11">
        <x:f>J133-L133</x:f>
      </x:c>
      <x:c r="Q133" s="12">
        <x:f>IF(L133=0,0,P133/L133)</x:f>
      </x:c>
      <x:c r="R133" s="11">
        <x:f>J133-M133</x:f>
      </x:c>
      <x:c r="S133" s="11">
        <x:f>IF(I133="Revenue",N133,-N133)</x:f>
      </x:c>
      <x:c r="T133">
        <x:f>IF(S133&gt;=0,"Favourable","Unfavourable")</x:f>
      </x:c>
      <x:c r="U133" s="11" t="n">
        <x:v>0.02</x:v>
      </x:c>
      <x:c r="V133" s="11" t="n">
        <x:v>0.02</x:v>
      </x:c>
      <x:c r="W133" s="11" t="n">
        <x:v>0.01</x:v>
      </x:c>
      <x:c r="X133" s="11" t="n">
        <x:v>0</x:v>
      </x:c>
      <x:c r="Y133" s="11">
        <x:f>ROUND(U133+V133+W133+X133-N133,2)</x:f>
      </x:c>
      <x:c r="Z133">
        <x:f>IF(AND(ABS(ROUND(N133,2))&gt;=0.5,ABS(O133)&gt;=0.05),"Yes","No")</x:f>
      </x:c>
      <x:c r="AA133" t="inlineStr">
        <x:is>
          <x:t xml:space="preserve">Closed actual</x:t>
        </x:is>
      </x:c>
      <x:c r="AB133" t="inlineStr">
        <x:is>
          <x:t xml:space="preserve"/>
        </x:is>
      </x:c>
      <x:c r="AC133" t="inlineStr">
        <x:is>
          <x:t xml:space="preserve"/>
        </x:is>
      </x:c>
      <x:c r="AD133" t="inlineStr">
        <x:is>
          <x:t xml:space="preserve">Synthetic - CIE training only</x:t>
        </x:is>
      </x:c>
    </x:row>
    <x:row r="134">
      <x:c r="A134" t="inlineStr">
        <x:is>
          <x:t xml:space="preserve">FIN-0129</x:t>
        </x:is>
      </x:c>
      <x:c r="B134" t="inlineStr">
        <x:is>
          <x:t xml:space="preserve">P09 Sep-2026</x:t>
        </x:is>
      </x:c>
      <x:c r="C134" s="10" t="n">
        <x:v>46295</x:v>
      </x:c>
      <x:c r="D134" t="inlineStr">
        <x:is>
          <x:t xml:space="preserve">Region Atlas</x:t>
        </x:is>
      </x:c>
      <x:c r="E134" t="inlineStr">
        <x:is>
          <x:t xml:space="preserve">Southport</x:t>
        </x:is>
      </x:c>
      <x:c r="F134" t="inlineStr">
        <x:is>
          <x:t xml:space="preserve">Operations</x:t>
        </x:is>
      </x:c>
      <x:c r="G134" t="inlineStr">
        <x:is>
          <x:t xml:space="preserve">SP-OPS-200</x:t>
        </x:is>
      </x:c>
      <x:c r="H134" t="inlineStr">
        <x:is>
          <x:t xml:space="preserve">Cost of Goods Sold</x:t>
        </x:is>
      </x:c>
      <x:c r="I134" t="inlineStr">
        <x:is>
          <x:t xml:space="preserve">Cost</x:t>
        </x:is>
      </x:c>
      <x:c r="J134" s="11" t="n">
        <x:v>19.42</x:v>
      </x:c>
      <x:c r="K134" s="11" t="n">
        <x:v>19.48</x:v>
      </x:c>
      <x:c r="L134" s="11" t="n">
        <x:v>18.27</x:v>
      </x:c>
      <x:c r="M134" s="11" t="n">
        <x:v>19.3</x:v>
      </x:c>
      <x:c r="N134" s="11">
        <x:f>J134-K134</x:f>
      </x:c>
      <x:c r="O134" s="12">
        <x:f>IF(K134=0,0,N134/K134)</x:f>
      </x:c>
      <x:c r="P134" s="11">
        <x:f>J134-L134</x:f>
      </x:c>
      <x:c r="Q134" s="12">
        <x:f>IF(L134=0,0,P134/L134)</x:f>
      </x:c>
      <x:c r="R134" s="11">
        <x:f>J134-M134</x:f>
      </x:c>
      <x:c r="S134" s="11">
        <x:f>IF(I134="Revenue",N134,-N134)</x:f>
      </x:c>
      <x:c r="T134">
        <x:f>IF(S134&gt;=0,"Favourable","Unfavourable")</x:f>
      </x:c>
      <x:c r="U134" s="11" t="n">
        <x:v>-0.08</x:v>
      </x:c>
      <x:c r="V134" s="11" t="n">
        <x:v>0.09</x:v>
      </x:c>
      <x:c r="W134" s="11" t="n">
        <x:v>-0.02</x:v>
      </x:c>
      <x:c r="X134" s="11" t="n">
        <x:v>-0.05</x:v>
      </x:c>
      <x:c r="Y134" s="11">
        <x:f>ROUND(U134+V134+W134+X134-N134,2)</x:f>
      </x:c>
      <x:c r="Z134">
        <x:f>IF(AND(ABS(ROUND(N134,2))&gt;=0.5,ABS(O134)&gt;=0.05),"Yes","No")</x:f>
      </x:c>
      <x:c r="AA134" t="inlineStr">
        <x:is>
          <x:t xml:space="preserve">Closed actual</x:t>
        </x:is>
      </x:c>
      <x:c r="AB134" t="inlineStr">
        <x:is>
          <x:t xml:space="preserve"/>
        </x:is>
      </x:c>
      <x:c r="AC134" t="inlineStr">
        <x:is>
          <x:t xml:space="preserve"/>
        </x:is>
      </x:c>
      <x:c r="AD134" t="inlineStr">
        <x:is>
          <x:t xml:space="preserve">Synthetic - CIE training only</x:t>
        </x:is>
      </x:c>
    </x:row>
    <x:row r="135">
      <x:c r="A135" t="inlineStr">
        <x:is>
          <x:t xml:space="preserve">FIN-0130</x:t>
        </x:is>
      </x:c>
      <x:c r="B135" t="inlineStr">
        <x:is>
          <x:t xml:space="preserve">P09 Sep-2026</x:t>
        </x:is>
      </x:c>
      <x:c r="C135" s="10" t="n">
        <x:v>46295</x:v>
      </x:c>
      <x:c r="D135" t="inlineStr">
        <x:is>
          <x:t xml:space="preserve">Region Atlas</x:t>
        </x:is>
      </x:c>
      <x:c r="E135" t="inlineStr">
        <x:is>
          <x:t xml:space="preserve">Southport</x:t>
        </x:is>
      </x:c>
      <x:c r="F135" t="inlineStr">
        <x:is>
          <x:t xml:space="preserve">Supply Chain</x:t>
        </x:is>
      </x:c>
      <x:c r="G135" t="inlineStr">
        <x:is>
          <x:t xml:space="preserve">SP-SCM-300</x:t>
        </x:is>
      </x:c>
      <x:c r="H135" t="inlineStr">
        <x:is>
          <x:t xml:space="preserve">Logistics &amp; Distribution</x:t>
        </x:is>
      </x:c>
      <x:c r="I135" t="inlineStr">
        <x:is>
          <x:t xml:space="preserve">Cost</x:t>
        </x:is>
      </x:c>
      <x:c r="J135" s="11" t="n">
        <x:v>4</x:v>
      </x:c>
      <x:c r="K135" s="11" t="n">
        <x:v>4.01</x:v>
      </x:c>
      <x:c r="L135" s="11" t="n">
        <x:v>3.93</x:v>
      </x:c>
      <x:c r="M135" s="11" t="n">
        <x:v>4.03</x:v>
      </x:c>
      <x:c r="N135" s="11">
        <x:f>J135-K135</x:f>
      </x:c>
      <x:c r="O135" s="12">
        <x:f>IF(K135=0,0,N135/K135)</x:f>
      </x:c>
      <x:c r="P135" s="11">
        <x:f>J135-L135</x:f>
      </x:c>
      <x:c r="Q135" s="12">
        <x:f>IF(L135=0,0,P135/L135)</x:f>
      </x:c>
      <x:c r="R135" s="11">
        <x:f>J135-M135</x:f>
      </x:c>
      <x:c r="S135" s="11">
        <x:f>IF(I135="Revenue",N135,-N135)</x:f>
      </x:c>
      <x:c r="T135">
        <x:f>IF(S135&gt;=0,"Favourable","Unfavourable")</x:f>
      </x:c>
      <x:c r="U135" s="11" t="n">
        <x:v>-0.03</x:v>
      </x:c>
      <x:c r="V135" s="11" t="n">
        <x:v>0.03</x:v>
      </x:c>
      <x:c r="W135" s="11" t="n">
        <x:v>0</x:v>
      </x:c>
      <x:c r="X135" s="11" t="n">
        <x:v>-0.01</x:v>
      </x:c>
      <x:c r="Y135" s="11">
        <x:f>ROUND(U135+V135+W135+X135-N135,2)</x:f>
      </x:c>
      <x:c r="Z135">
        <x:f>IF(AND(ABS(ROUND(N135,2))&gt;=0.5,ABS(O135)&gt;=0.05),"Yes","No")</x:f>
      </x:c>
      <x:c r="AA135" t="inlineStr">
        <x:is>
          <x:t xml:space="preserve">Closed actual</x:t>
        </x:is>
      </x:c>
      <x:c r="AB135" t="inlineStr">
        <x:is>
          <x:t xml:space="preserve"/>
        </x:is>
      </x:c>
      <x:c r="AC135" t="inlineStr">
        <x:is>
          <x:t xml:space="preserve"/>
        </x:is>
      </x:c>
      <x:c r="AD135" t="inlineStr">
        <x:is>
          <x:t xml:space="preserve">Synthetic - CIE training only</x:t>
        </x:is>
      </x:c>
    </x:row>
    <x:row r="136">
      <x:c r="A136" t="inlineStr">
        <x:is>
          <x:t xml:space="preserve">FIN-0131</x:t>
        </x:is>
      </x:c>
      <x:c r="B136" t="inlineStr">
        <x:is>
          <x:t xml:space="preserve">P09 Sep-2026</x:t>
        </x:is>
      </x:c>
      <x:c r="C136" s="10" t="n">
        <x:v>46295</x:v>
      </x:c>
      <x:c r="D136" t="inlineStr">
        <x:is>
          <x:t xml:space="preserve">Region Atlas</x:t>
        </x:is>
      </x:c>
      <x:c r="E136" t="inlineStr">
        <x:is>
          <x:t xml:space="preserve">Southport</x:t>
        </x:is>
      </x:c>
      <x:c r="F136" t="inlineStr">
        <x:is>
          <x:t xml:space="preserve">Marketing</x:t>
        </x:is>
      </x:c>
      <x:c r="G136" t="inlineStr">
        <x:is>
          <x:t xml:space="preserve">SP-MKT-400</x:t>
        </x:is>
      </x:c>
      <x:c r="H136" t="inlineStr">
        <x:is>
          <x:t xml:space="preserve">Trade Marketing Investment</x:t>
        </x:is>
      </x:c>
      <x:c r="I136" t="inlineStr">
        <x:is>
          <x:t xml:space="preserve">Cost</x:t>
        </x:is>
      </x:c>
      <x:c r="J136" s="11" t="n">
        <x:v>5.03</x:v>
      </x:c>
      <x:c r="K136" s="11" t="n">
        <x:v>5.14</x:v>
      </x:c>
      <x:c r="L136" s="11" t="n">
        <x:v>4.9</x:v>
      </x:c>
      <x:c r="M136" s="11" t="n">
        <x:v>5.06</x:v>
      </x:c>
      <x:c r="N136" s="11">
        <x:f>J136-K136</x:f>
      </x:c>
      <x:c r="O136" s="12">
        <x:f>IF(K136=0,0,N136/K136)</x:f>
      </x:c>
      <x:c r="P136" s="11">
        <x:f>J136-L136</x:f>
      </x:c>
      <x:c r="Q136" s="12">
        <x:f>IF(L136=0,0,P136/L136)</x:f>
      </x:c>
      <x:c r="R136" s="11">
        <x:f>J136-M136</x:f>
      </x:c>
      <x:c r="S136" s="11">
        <x:f>IF(I136="Revenue",N136,-N136)</x:f>
      </x:c>
      <x:c r="T136">
        <x:f>IF(S136&gt;=0,"Favourable","Unfavourable")</x:f>
      </x:c>
      <x:c r="U136" s="11" t="n">
        <x:v>-0.02</x:v>
      </x:c>
      <x:c r="V136" s="11" t="n">
        <x:v>-0.02</x:v>
      </x:c>
      <x:c r="W136" s="11" t="n">
        <x:v>-0.05</x:v>
      </x:c>
      <x:c r="X136" s="11" t="n">
        <x:v>-0.02</x:v>
      </x:c>
      <x:c r="Y136" s="11">
        <x:f>ROUND(U136+V136+W136+X136-N136,2)</x:f>
      </x:c>
      <x:c r="Z136">
        <x:f>IF(AND(ABS(ROUND(N136,2))&gt;=0.5,ABS(O136)&gt;=0.05),"Yes","No")</x:f>
      </x:c>
      <x:c r="AA136" t="inlineStr">
        <x:is>
          <x:t xml:space="preserve">Closed actual</x:t>
        </x:is>
      </x:c>
      <x:c r="AB136" t="inlineStr">
        <x:is>
          <x:t xml:space="preserve"/>
        </x:is>
      </x:c>
      <x:c r="AC136" t="inlineStr">
        <x:is>
          <x:t xml:space="preserve"/>
        </x:is>
      </x:c>
      <x:c r="AD136" t="inlineStr">
        <x:is>
          <x:t xml:space="preserve">Synthetic - CIE training only</x:t>
        </x:is>
      </x:c>
    </x:row>
    <x:row r="137">
      <x:c r="A137" t="inlineStr">
        <x:is>
          <x:t xml:space="preserve">FIN-0132</x:t>
        </x:is>
      </x:c>
      <x:c r="B137" t="inlineStr">
        <x:is>
          <x:t xml:space="preserve">P09 Sep-2026</x:t>
        </x:is>
      </x:c>
      <x:c r="C137" s="10" t="n">
        <x:v>46295</x:v>
      </x:c>
      <x:c r="D137" t="inlineStr">
        <x:is>
          <x:t xml:space="preserve">Region Atlas</x:t>
        </x:is>
      </x:c>
      <x:c r="E137" t="inlineStr">
        <x:is>
          <x:t xml:space="preserve">Southport</x:t>
        </x:is>
      </x:c>
      <x:c r="F137" t="inlineStr">
        <x:is>
          <x:t xml:space="preserve">Commercial</x:t>
        </x:is>
      </x:c>
      <x:c r="G137" t="inlineStr">
        <x:is>
          <x:t xml:space="preserve">SP-COM-110</x:t>
        </x:is>
      </x:c>
      <x:c r="H137" t="inlineStr">
        <x:is>
          <x:t xml:space="preserve">Sales Force Cost</x:t>
        </x:is>
      </x:c>
      <x:c r="I137" t="inlineStr">
        <x:is>
          <x:t xml:space="preserve">Cost</x:t>
        </x:is>
      </x:c>
      <x:c r="J137" s="11" t="n">
        <x:v>3.26</x:v>
      </x:c>
      <x:c r="K137" s="11" t="n">
        <x:v>3.27</x:v>
      </x:c>
      <x:c r="L137" s="11" t="n">
        <x:v>3.21</x:v>
      </x:c>
      <x:c r="M137" s="11" t="n">
        <x:v>3.21</x:v>
      </x:c>
      <x:c r="N137" s="11">
        <x:f>J137-K137</x:f>
      </x:c>
      <x:c r="O137" s="12">
        <x:f>IF(K137=0,0,N137/K137)</x:f>
      </x:c>
      <x:c r="P137" s="11">
        <x:f>J137-L137</x:f>
      </x:c>
      <x:c r="Q137" s="12">
        <x:f>IF(L137=0,0,P137/L137)</x:f>
      </x:c>
      <x:c r="R137" s="11">
        <x:f>J137-M137</x:f>
      </x:c>
      <x:c r="S137" s="11">
        <x:f>IF(I137="Revenue",N137,-N137)</x:f>
      </x:c>
      <x:c r="T137">
        <x:f>IF(S137&gt;=0,"Favourable","Unfavourable")</x:f>
      </x:c>
      <x:c r="U137" s="11" t="n">
        <x:v>-0.04</x:v>
      </x:c>
      <x:c r="V137" s="11" t="n">
        <x:v>0.05</x:v>
      </x:c>
      <x:c r="W137" s="11" t="n">
        <x:v>-0.03</x:v>
      </x:c>
      <x:c r="X137" s="11" t="n">
        <x:v>0.01</x:v>
      </x:c>
      <x:c r="Y137" s="11">
        <x:f>ROUND(U137+V137+W137+X137-N137,2)</x:f>
      </x:c>
      <x:c r="Z137">
        <x:f>IF(AND(ABS(ROUND(N137,2))&gt;=0.5,ABS(O137)&gt;=0.05),"Yes","No")</x:f>
      </x:c>
      <x:c r="AA137" t="inlineStr">
        <x:is>
          <x:t xml:space="preserve">Closed actual</x:t>
        </x:is>
      </x:c>
      <x:c r="AB137" t="inlineStr">
        <x:is>
          <x:t xml:space="preserve"/>
        </x:is>
      </x:c>
      <x:c r="AC137" t="inlineStr">
        <x:is>
          <x:t xml:space="preserve"/>
        </x:is>
      </x:c>
      <x:c r="AD137" t="inlineStr">
        <x:is>
          <x:t xml:space="preserve">Synthetic - CIE training only</x:t>
        </x:is>
      </x:c>
    </x:row>
    <x:row r="138">
      <x:c r="A138" t="inlineStr">
        <x:is>
          <x:t xml:space="preserve">FIN-0133</x:t>
        </x:is>
      </x:c>
      <x:c r="B138" t="inlineStr">
        <x:is>
          <x:t xml:space="preserve">P09 Sep-2026</x:t>
        </x:is>
      </x:c>
      <x:c r="C138" s="10" t="n">
        <x:v>46295</x:v>
      </x:c>
      <x:c r="D138" t="inlineStr">
        <x:is>
          <x:t xml:space="preserve">Region Atlas</x:t>
        </x:is>
      </x:c>
      <x:c r="E138" t="inlineStr">
        <x:is>
          <x:t xml:space="preserve">Southport</x:t>
        </x:is>
      </x:c>
      <x:c r="F138" t="inlineStr">
        <x:is>
          <x:t xml:space="preserve">Digital &amp; IT</x:t>
        </x:is>
      </x:c>
      <x:c r="G138" t="inlineStr">
        <x:is>
          <x:t xml:space="preserve">SP-DIT-500</x:t>
        </x:is>
      </x:c>
      <x:c r="H138" t="inlineStr">
        <x:is>
          <x:t xml:space="preserve">Digital &amp; IT Cost</x:t>
        </x:is>
      </x:c>
      <x:c r="I138" t="inlineStr">
        <x:is>
          <x:t xml:space="preserve">Cost</x:t>
        </x:is>
      </x:c>
      <x:c r="J138" s="11" t="n">
        <x:v>2.18</x:v>
      </x:c>
      <x:c r="K138" s="11" t="n">
        <x:v>2.22</x:v>
      </x:c>
      <x:c r="L138" s="11" t="n">
        <x:v>2.07</x:v>
      </x:c>
      <x:c r="M138" s="11" t="n">
        <x:v>2.14</x:v>
      </x:c>
      <x:c r="N138" s="11">
        <x:f>J138-K138</x:f>
      </x:c>
      <x:c r="O138" s="12">
        <x:f>IF(K138=0,0,N138/K138)</x:f>
      </x:c>
      <x:c r="P138" s="11">
        <x:f>J138-L138</x:f>
      </x:c>
      <x:c r="Q138" s="12">
        <x:f>IF(L138=0,0,P138/L138)</x:f>
      </x:c>
      <x:c r="R138" s="11">
        <x:f>J138-M138</x:f>
      </x:c>
      <x:c r="S138" s="11">
        <x:f>IF(I138="Revenue",N138,-N138)</x:f>
      </x:c>
      <x:c r="T138">
        <x:f>IF(S138&gt;=0,"Favourable","Unfavourable")</x:f>
      </x:c>
      <x:c r="U138" s="11" t="n">
        <x:v>-0.01</x:v>
      </x:c>
      <x:c r="V138" s="11" t="n">
        <x:v>-0.03</x:v>
      </x:c>
      <x:c r="W138" s="11" t="n">
        <x:v>-0.01</x:v>
      </x:c>
      <x:c r="X138" s="11" t="n">
        <x:v>0.01</x:v>
      </x:c>
      <x:c r="Y138" s="11">
        <x:f>ROUND(U138+V138+W138+X138-N138,2)</x:f>
      </x:c>
      <x:c r="Z138">
        <x:f>IF(AND(ABS(ROUND(N138,2))&gt;=0.5,ABS(O138)&gt;=0.05),"Yes","No")</x:f>
      </x:c>
      <x:c r="AA138" t="inlineStr">
        <x:is>
          <x:t xml:space="preserve">Closed actual</x:t>
        </x:is>
      </x:c>
      <x:c r="AB138" t="inlineStr">
        <x:is>
          <x:t xml:space="preserve"/>
        </x:is>
      </x:c>
      <x:c r="AC138" t="inlineStr">
        <x:is>
          <x:t xml:space="preserve"/>
        </x:is>
      </x:c>
      <x:c r="AD138" t="inlineStr">
        <x:is>
          <x:t xml:space="preserve">Synthetic - CIE training only</x:t>
        </x:is>
      </x:c>
    </x:row>
    <x:row r="139">
      <x:c r="A139" t="inlineStr">
        <x:is>
          <x:t xml:space="preserve">FIN-0134</x:t>
        </x:is>
      </x:c>
      <x:c r="B139" t="inlineStr">
        <x:is>
          <x:t xml:space="preserve">P09 Sep-2026</x:t>
        </x:is>
      </x:c>
      <x:c r="C139" s="10" t="n">
        <x:v>46295</x:v>
      </x:c>
      <x:c r="D139" t="inlineStr">
        <x:is>
          <x:t xml:space="preserve">Region Atlas</x:t>
        </x:is>
      </x:c>
      <x:c r="E139" t="inlineStr">
        <x:is>
          <x:t xml:space="preserve">Southport</x:t>
        </x:is>
      </x:c>
      <x:c r="F139" t="inlineStr">
        <x:is>
          <x:t xml:space="preserve">Finance</x:t>
        </x:is>
      </x:c>
      <x:c r="G139" t="inlineStr">
        <x:is>
          <x:t xml:space="preserve">SP-FIN-600</x:t>
        </x:is>
      </x:c>
      <x:c r="H139" t="inlineStr">
        <x:is>
          <x:t xml:space="preserve">General &amp; Admin Cost</x:t>
        </x:is>
      </x:c>
      <x:c r="I139" t="inlineStr">
        <x:is>
          <x:t xml:space="preserve">Cost</x:t>
        </x:is>
      </x:c>
      <x:c r="J139" s="11" t="n">
        <x:v>1.75</x:v>
      </x:c>
      <x:c r="K139" s="11" t="n">
        <x:v>1.7</x:v>
      </x:c>
      <x:c r="L139" s="11" t="n">
        <x:v>1.62</x:v>
      </x:c>
      <x:c r="M139" s="11" t="n">
        <x:v>1.71</x:v>
      </x:c>
      <x:c r="N139" s="11">
        <x:f>J139-K139</x:f>
      </x:c>
      <x:c r="O139" s="12">
        <x:f>IF(K139=0,0,N139/K139)</x:f>
      </x:c>
      <x:c r="P139" s="11">
        <x:f>J139-L139</x:f>
      </x:c>
      <x:c r="Q139" s="12">
        <x:f>IF(L139=0,0,P139/L139)</x:f>
      </x:c>
      <x:c r="R139" s="11">
        <x:f>J139-M139</x:f>
      </x:c>
      <x:c r="S139" s="11">
        <x:f>IF(I139="Revenue",N139,-N139)</x:f>
      </x:c>
      <x:c r="T139">
        <x:f>IF(S139&gt;=0,"Favourable","Unfavourable")</x:f>
      </x:c>
      <x:c r="U139" s="11" t="n">
        <x:v>0.03</x:v>
      </x:c>
      <x:c r="V139" s="11" t="n">
        <x:v>0.01</x:v>
      </x:c>
      <x:c r="W139" s="11" t="n">
        <x:v>0</x:v>
      </x:c>
      <x:c r="X139" s="11" t="n">
        <x:v>0.01</x:v>
      </x:c>
      <x:c r="Y139" s="11">
        <x:f>ROUND(U139+V139+W139+X139-N139,2)</x:f>
      </x:c>
      <x:c r="Z139">
        <x:f>IF(AND(ABS(ROUND(N139,2))&gt;=0.5,ABS(O139)&gt;=0.05),"Yes","No")</x:f>
      </x:c>
      <x:c r="AA139" t="inlineStr">
        <x:is>
          <x:t xml:space="preserve">Closed actual</x:t>
        </x:is>
      </x:c>
      <x:c r="AB139" t="inlineStr">
        <x:is>
          <x:t xml:space="preserve"/>
        </x:is>
      </x:c>
      <x:c r="AC139" t="inlineStr">
        <x:is>
          <x:t xml:space="preserve"/>
        </x:is>
      </x:c>
      <x:c r="AD139" t="inlineStr">
        <x:is>
          <x:t xml:space="preserve">Synthetic - CIE training only</x:t>
        </x:is>
      </x:c>
    </x:row>
    <x:row r="140">
      <x:c r="A140" t="inlineStr">
        <x:is>
          <x:t xml:space="preserve">FIN-0135</x:t>
        </x:is>
      </x:c>
      <x:c r="B140" t="inlineStr">
        <x:is>
          <x:t xml:space="preserve">P09 Sep-2026</x:t>
        </x:is>
      </x:c>
      <x:c r="C140" s="10" t="n">
        <x:v>46295</x:v>
      </x:c>
      <x:c r="D140" t="inlineStr">
        <x:is>
          <x:t xml:space="preserve">Region Atlas</x:t>
        </x:is>
      </x:c>
      <x:c r="E140" t="inlineStr">
        <x:is>
          <x:t xml:space="preserve">Southport</x:t>
        </x:is>
      </x:c>
      <x:c r="F140" t="inlineStr">
        <x:is>
          <x:t xml:space="preserve">Operations</x:t>
        </x:is>
      </x:c>
      <x:c r="G140" t="inlineStr">
        <x:is>
          <x:t xml:space="preserve">SP-OPS-210</x:t>
        </x:is>
      </x:c>
      <x:c r="H140" t="inlineStr">
        <x:is>
          <x:t xml:space="preserve">Facilities Cost</x:t>
        </x:is>
      </x:c>
      <x:c r="I140" t="inlineStr">
        <x:is>
          <x:t xml:space="preserve">Cost</x:t>
        </x:is>
      </x:c>
      <x:c r="J140" s="11" t="n">
        <x:v>1.07</x:v>
      </x:c>
      <x:c r="K140" s="11" t="n">
        <x:v>1.08</x:v>
      </x:c>
      <x:c r="L140" s="11" t="n">
        <x:v>1.02</x:v>
      </x:c>
      <x:c r="M140" s="11" t="n">
        <x:v>1.08</x:v>
      </x:c>
      <x:c r="N140" s="11">
        <x:f>J140-K140</x:f>
      </x:c>
      <x:c r="O140" s="12">
        <x:f>IF(K140=0,0,N140/K140)</x:f>
      </x:c>
      <x:c r="P140" s="11">
        <x:f>J140-L140</x:f>
      </x:c>
      <x:c r="Q140" s="12">
        <x:f>IF(L140=0,0,P140/L140)</x:f>
      </x:c>
      <x:c r="R140" s="11">
        <x:f>J140-M140</x:f>
      </x:c>
      <x:c r="S140" s="11">
        <x:f>IF(I140="Revenue",N140,-N140)</x:f>
      </x:c>
      <x:c r="T140">
        <x:f>IF(S140&gt;=0,"Favourable","Unfavourable")</x:f>
      </x:c>
      <x:c r="U140" s="11" t="n">
        <x:v>-0.03</x:v>
      </x:c>
      <x:c r="V140" s="11" t="n">
        <x:v>0.02</x:v>
      </x:c>
      <x:c r="W140" s="11" t="n">
        <x:v>0</x:v>
      </x:c>
      <x:c r="X140" s="11" t="n">
        <x:v>0</x:v>
      </x:c>
      <x:c r="Y140" s="11">
        <x:f>ROUND(U140+V140+W140+X140-N140,2)</x:f>
      </x:c>
      <x:c r="Z140">
        <x:f>IF(AND(ABS(ROUND(N140,2))&gt;=0.5,ABS(O140)&gt;=0.05),"Yes","No")</x:f>
      </x:c>
      <x:c r="AA140" t="inlineStr">
        <x:is>
          <x:t xml:space="preserve">Closed actual</x:t>
        </x:is>
      </x:c>
      <x:c r="AB140" t="inlineStr">
        <x:is>
          <x:t xml:space="preserve"/>
        </x:is>
      </x:c>
      <x:c r="AC140" t="inlineStr">
        <x:is>
          <x:t xml:space="preserve"/>
        </x:is>
      </x:c>
      <x:c r="AD140" t="inlineStr">
        <x:is>
          <x:t xml:space="preserve">Synthetic - CIE training only</x:t>
        </x:is>
      </x:c>
    </x:row>
    <x:row r="141">
      <x:c r="A141" t="inlineStr">
        <x:is>
          <x:t xml:space="preserve">FIN-0136</x:t>
        </x:is>
      </x:c>
      <x:c r="B141" t="inlineStr">
        <x:is>
          <x:t xml:space="preserve">P09 Sep-2026</x:t>
        </x:is>
      </x:c>
      <x:c r="C141" s="10" t="n">
        <x:v>46295</x:v>
      </x:c>
      <x:c r="D141" t="inlineStr">
        <x:is>
          <x:t xml:space="preserve">Region Atlas</x:t>
        </x:is>
      </x:c>
      <x:c r="E141" t="inlineStr">
        <x:is>
          <x:t xml:space="preserve">Westbrook</x:t>
        </x:is>
      </x:c>
      <x:c r="F141" t="inlineStr">
        <x:is>
          <x:t xml:space="preserve">Commercial</x:t>
        </x:is>
      </x:c>
      <x:c r="G141" t="inlineStr">
        <x:is>
          <x:t xml:space="preserve">WB-COM-100</x:t>
        </x:is>
      </x:c>
      <x:c r="H141" t="inlineStr">
        <x:is>
          <x:t xml:space="preserve">Net Revenue</x:t>
        </x:is>
      </x:c>
      <x:c r="I141" t="inlineStr">
        <x:is>
          <x:t xml:space="preserve">Revenue</x:t>
        </x:is>
      </x:c>
      <x:c r="J141" s="11" t="n">
        <x:v>64.95</x:v>
      </x:c>
      <x:c r="K141" s="11" t="n">
        <x:v>65.19</x:v>
      </x:c>
      <x:c r="L141" s="11" t="n">
        <x:v>63.53</x:v>
      </x:c>
      <x:c r="M141" s="11" t="n">
        <x:v>65.06</x:v>
      </x:c>
      <x:c r="N141" s="11">
        <x:f>J141-K141</x:f>
      </x:c>
      <x:c r="O141" s="12">
        <x:f>IF(K141=0,0,N141/K141)</x:f>
      </x:c>
      <x:c r="P141" s="11">
        <x:f>J141-L141</x:f>
      </x:c>
      <x:c r="Q141" s="12">
        <x:f>IF(L141=0,0,P141/L141)</x:f>
      </x:c>
      <x:c r="R141" s="11">
        <x:f>J141-M141</x:f>
      </x:c>
      <x:c r="S141" s="11">
        <x:f>IF(I141="Revenue",N141,-N141)</x:f>
      </x:c>
      <x:c r="T141">
        <x:f>IF(S141&gt;=0,"Favourable","Unfavourable")</x:f>
      </x:c>
      <x:c r="U141" s="11" t="n">
        <x:v>0.07000000000000001</x:v>
      </x:c>
      <x:c r="V141" s="11" t="n">
        <x:v>0.27</x:v>
      </x:c>
      <x:c r="W141" s="11" t="n">
        <x:v>-0.2</x:v>
      </x:c>
      <x:c r="X141" s="11" t="n">
        <x:v>-0.38</x:v>
      </x:c>
      <x:c r="Y141" s="11">
        <x:f>ROUND(U141+V141+W141+X141-N141,2)</x:f>
      </x:c>
      <x:c r="Z141">
        <x:f>IF(AND(ABS(ROUND(N141,2))&gt;=0.5,ABS(O141)&gt;=0.05),"Yes","No")</x:f>
      </x:c>
      <x:c r="AA141" t="inlineStr">
        <x:is>
          <x:t xml:space="preserve">Closed actual</x:t>
        </x:is>
      </x:c>
      <x:c r="AB141" t="inlineStr">
        <x:is>
          <x:t xml:space="preserve"/>
        </x:is>
      </x:c>
      <x:c r="AC141" t="inlineStr">
        <x:is>
          <x:t xml:space="preserve"/>
        </x:is>
      </x:c>
      <x:c r="AD141" t="inlineStr">
        <x:is>
          <x:t xml:space="preserve">Synthetic - CIE training only</x:t>
        </x:is>
      </x:c>
    </x:row>
    <x:row r="142">
      <x:c r="A142" t="inlineStr">
        <x:is>
          <x:t xml:space="preserve">FIN-0137</x:t>
        </x:is>
      </x:c>
      <x:c r="B142" t="inlineStr">
        <x:is>
          <x:t xml:space="preserve">P09 Sep-2026</x:t>
        </x:is>
      </x:c>
      <x:c r="C142" s="10" t="n">
        <x:v>46295</x:v>
      </x:c>
      <x:c r="D142" t="inlineStr">
        <x:is>
          <x:t xml:space="preserve">Region Atlas</x:t>
        </x:is>
      </x:c>
      <x:c r="E142" t="inlineStr">
        <x:is>
          <x:t xml:space="preserve">Westbrook</x:t>
        </x:is>
      </x:c>
      <x:c r="F142" t="inlineStr">
        <x:is>
          <x:t xml:space="preserve">Finance</x:t>
        </x:is>
      </x:c>
      <x:c r="G142" t="inlineStr">
        <x:is>
          <x:t xml:space="preserve">WB-FIN-900</x:t>
        </x:is>
      </x:c>
      <x:c r="H142" t="inlineStr">
        <x:is>
          <x:t xml:space="preserve">Other Operating Income</x:t>
        </x:is>
      </x:c>
      <x:c r="I142" t="inlineStr">
        <x:is>
          <x:t xml:space="preserve">Revenue</x:t>
        </x:is>
      </x:c>
      <x:c r="J142" s="11" t="n">
        <x:v>1.58</x:v>
      </x:c>
      <x:c r="K142" s="11" t="n">
        <x:v>1.56</x:v>
      </x:c>
      <x:c r="L142" s="11" t="n">
        <x:v>1.54</x:v>
      </x:c>
      <x:c r="M142" s="11" t="n">
        <x:v>1.62</x:v>
      </x:c>
      <x:c r="N142" s="11">
        <x:f>J142-K142</x:f>
      </x:c>
      <x:c r="O142" s="12">
        <x:f>IF(K142=0,0,N142/K142)</x:f>
      </x:c>
      <x:c r="P142" s="11">
        <x:f>J142-L142</x:f>
      </x:c>
      <x:c r="Q142" s="12">
        <x:f>IF(L142=0,0,P142/L142)</x:f>
      </x:c>
      <x:c r="R142" s="11">
        <x:f>J142-M142</x:f>
      </x:c>
      <x:c r="S142" s="11">
        <x:f>IF(I142="Revenue",N142,-N142)</x:f>
      </x:c>
      <x:c r="T142">
        <x:f>IF(S142&gt;=0,"Favourable","Unfavourable")</x:f>
      </x:c>
      <x:c r="U142" s="11" t="n">
        <x:v>0.01</x:v>
      </x:c>
      <x:c r="V142" s="11" t="n">
        <x:v>0</x:v>
      </x:c>
      <x:c r="W142" s="11" t="n">
        <x:v>0.01</x:v>
      </x:c>
      <x:c r="X142" s="11" t="n">
        <x:v>0</x:v>
      </x:c>
      <x:c r="Y142" s="11">
        <x:f>ROUND(U142+V142+W142+X142-N142,2)</x:f>
      </x:c>
      <x:c r="Z142">
        <x:f>IF(AND(ABS(ROUND(N142,2))&gt;=0.5,ABS(O142)&gt;=0.05),"Yes","No")</x:f>
      </x:c>
      <x:c r="AA142" t="inlineStr">
        <x:is>
          <x:t xml:space="preserve">Closed actual</x:t>
        </x:is>
      </x:c>
      <x:c r="AB142" t="inlineStr">
        <x:is>
          <x:t xml:space="preserve"/>
        </x:is>
      </x:c>
      <x:c r="AC142" t="inlineStr">
        <x:is>
          <x:t xml:space="preserve"/>
        </x:is>
      </x:c>
      <x:c r="AD142" t="inlineStr">
        <x:is>
          <x:t xml:space="preserve">Synthetic - CIE training only</x:t>
        </x:is>
      </x:c>
    </x:row>
    <x:row r="143">
      <x:c r="A143" t="inlineStr">
        <x:is>
          <x:t xml:space="preserve">FIN-0138</x:t>
        </x:is>
      </x:c>
      <x:c r="B143" t="inlineStr">
        <x:is>
          <x:t xml:space="preserve">P09 Sep-2026</x:t>
        </x:is>
      </x:c>
      <x:c r="C143" s="10" t="n">
        <x:v>46295</x:v>
      </x:c>
      <x:c r="D143" t="inlineStr">
        <x:is>
          <x:t xml:space="preserve">Region Atlas</x:t>
        </x:is>
      </x:c>
      <x:c r="E143" t="inlineStr">
        <x:is>
          <x:t xml:space="preserve">Westbrook</x:t>
        </x:is>
      </x:c>
      <x:c r="F143" t="inlineStr">
        <x:is>
          <x:t xml:space="preserve">Operations</x:t>
        </x:is>
      </x:c>
      <x:c r="G143" t="inlineStr">
        <x:is>
          <x:t xml:space="preserve">WB-OPS-200</x:t>
        </x:is>
      </x:c>
      <x:c r="H143" t="inlineStr">
        <x:is>
          <x:t xml:space="preserve">Cost of Goods Sold</x:t>
        </x:is>
      </x:c>
      <x:c r="I143" t="inlineStr">
        <x:is>
          <x:t xml:space="preserve">Cost</x:t>
        </x:is>
      </x:c>
      <x:c r="J143" s="11" t="n">
        <x:v>24.12</x:v>
      </x:c>
      <x:c r="K143" s="11" t="n">
        <x:v>24.44</x:v>
      </x:c>
      <x:c r="L143" s="11" t="n">
        <x:v>22.99</x:v>
      </x:c>
      <x:c r="M143" s="11" t="n">
        <x:v>23.97</x:v>
      </x:c>
      <x:c r="N143" s="11">
        <x:f>J143-K143</x:f>
      </x:c>
      <x:c r="O143" s="12">
        <x:f>IF(K143=0,0,N143/K143)</x:f>
      </x:c>
      <x:c r="P143" s="11">
        <x:f>J143-L143</x:f>
      </x:c>
      <x:c r="Q143" s="12">
        <x:f>IF(L143=0,0,P143/L143)</x:f>
      </x:c>
      <x:c r="R143" s="11">
        <x:f>J143-M143</x:f>
      </x:c>
      <x:c r="S143" s="11">
        <x:f>IF(I143="Revenue",N143,-N143)</x:f>
      </x:c>
      <x:c r="T143">
        <x:f>IF(S143&gt;=0,"Favourable","Unfavourable")</x:f>
      </x:c>
      <x:c r="U143" s="11" t="n">
        <x:v>-0.23</x:v>
      </x:c>
      <x:c r="V143" s="11" t="n">
        <x:v>0.03</x:v>
      </x:c>
      <x:c r="W143" s="11" t="n">
        <x:v>-0.01</x:v>
      </x:c>
      <x:c r="X143" s="11" t="n">
        <x:v>-0.11</x:v>
      </x:c>
      <x:c r="Y143" s="11">
        <x:f>ROUND(U143+V143+W143+X143-N143,2)</x:f>
      </x:c>
      <x:c r="Z143">
        <x:f>IF(AND(ABS(ROUND(N143,2))&gt;=0.5,ABS(O143)&gt;=0.05),"Yes","No")</x:f>
      </x:c>
      <x:c r="AA143" t="inlineStr">
        <x:is>
          <x:t xml:space="preserve">Closed actual</x:t>
        </x:is>
      </x:c>
      <x:c r="AB143" t="inlineStr">
        <x:is>
          <x:t xml:space="preserve"/>
        </x:is>
      </x:c>
      <x:c r="AC143" t="inlineStr">
        <x:is>
          <x:t xml:space="preserve"/>
        </x:is>
      </x:c>
      <x:c r="AD143" t="inlineStr">
        <x:is>
          <x:t xml:space="preserve">Synthetic - CIE training only</x:t>
        </x:is>
      </x:c>
    </x:row>
    <x:row r="144">
      <x:c r="A144" t="inlineStr">
        <x:is>
          <x:t xml:space="preserve">FIN-0139</x:t>
        </x:is>
      </x:c>
      <x:c r="B144" t="inlineStr">
        <x:is>
          <x:t xml:space="preserve">P09 Sep-2026</x:t>
        </x:is>
      </x:c>
      <x:c r="C144" s="10" t="n">
        <x:v>46295</x:v>
      </x:c>
      <x:c r="D144" t="inlineStr">
        <x:is>
          <x:t xml:space="preserve">Region Atlas</x:t>
        </x:is>
      </x:c>
      <x:c r="E144" t="inlineStr">
        <x:is>
          <x:t xml:space="preserve">Westbrook</x:t>
        </x:is>
      </x:c>
      <x:c r="F144" t="inlineStr">
        <x:is>
          <x:t xml:space="preserve">Supply Chain</x:t>
        </x:is>
      </x:c>
      <x:c r="G144" t="inlineStr">
        <x:is>
          <x:t xml:space="preserve">WB-SCM-300</x:t>
        </x:is>
      </x:c>
      <x:c r="H144" t="inlineStr">
        <x:is>
          <x:t xml:space="preserve">Logistics &amp; Distribution</x:t>
        </x:is>
      </x:c>
      <x:c r="I144" t="inlineStr">
        <x:is>
          <x:t xml:space="preserve">Cost</x:t>
        </x:is>
      </x:c>
      <x:c r="J144" s="11" t="n">
        <x:v>4.49</x:v>
      </x:c>
      <x:c r="K144" s="11" t="n">
        <x:v>4.63</x:v>
      </x:c>
      <x:c r="L144" s="11" t="n">
        <x:v>4.38</x:v>
      </x:c>
      <x:c r="M144" s="11" t="n">
        <x:v>4.46</x:v>
      </x:c>
      <x:c r="N144" s="11">
        <x:f>J144-K144</x:f>
      </x:c>
      <x:c r="O144" s="12">
        <x:f>IF(K144=0,0,N144/K144)</x:f>
      </x:c>
      <x:c r="P144" s="11">
        <x:f>J144-L144</x:f>
      </x:c>
      <x:c r="Q144" s="12">
        <x:f>IF(L144=0,0,P144/L144)</x:f>
      </x:c>
      <x:c r="R144" s="11">
        <x:f>J144-M144</x:f>
      </x:c>
      <x:c r="S144" s="11">
        <x:f>IF(I144="Revenue",N144,-N144)</x:f>
      </x:c>
      <x:c r="T144">
        <x:f>IF(S144&gt;=0,"Favourable","Unfavourable")</x:f>
      </x:c>
      <x:c r="U144" s="11" t="n">
        <x:v>0</x:v>
      </x:c>
      <x:c r="V144" s="11" t="n">
        <x:v>-0.14</x:v>
      </x:c>
      <x:c r="W144" s="11" t="n">
        <x:v>-0.02</x:v>
      </x:c>
      <x:c r="X144" s="11" t="n">
        <x:v>0.02</x:v>
      </x:c>
      <x:c r="Y144" s="11">
        <x:f>ROUND(U144+V144+W144+X144-N144,2)</x:f>
      </x:c>
      <x:c r="Z144">
        <x:f>IF(AND(ABS(ROUND(N144,2))&gt;=0.5,ABS(O144)&gt;=0.05),"Yes","No")</x:f>
      </x:c>
      <x:c r="AA144" t="inlineStr">
        <x:is>
          <x:t xml:space="preserve">Closed actual</x:t>
        </x:is>
      </x:c>
      <x:c r="AB144" t="inlineStr">
        <x:is>
          <x:t xml:space="preserve"/>
        </x:is>
      </x:c>
      <x:c r="AC144" t="inlineStr">
        <x:is>
          <x:t xml:space="preserve"/>
        </x:is>
      </x:c>
      <x:c r="AD144" t="inlineStr">
        <x:is>
          <x:t xml:space="preserve">Synthetic - CIE training only</x:t>
        </x:is>
      </x:c>
    </x:row>
    <x:row r="145">
      <x:c r="A145" t="inlineStr">
        <x:is>
          <x:t xml:space="preserve">FIN-0140</x:t>
        </x:is>
      </x:c>
      <x:c r="B145" t="inlineStr">
        <x:is>
          <x:t xml:space="preserve">P09 Sep-2026</x:t>
        </x:is>
      </x:c>
      <x:c r="C145" s="10" t="n">
        <x:v>46295</x:v>
      </x:c>
      <x:c r="D145" t="inlineStr">
        <x:is>
          <x:t xml:space="preserve">Region Atlas</x:t>
        </x:is>
      </x:c>
      <x:c r="E145" t="inlineStr">
        <x:is>
          <x:t xml:space="preserve">Westbrook</x:t>
        </x:is>
      </x:c>
      <x:c r="F145" t="inlineStr">
        <x:is>
          <x:t xml:space="preserve">Marketing</x:t>
        </x:is>
      </x:c>
      <x:c r="G145" t="inlineStr">
        <x:is>
          <x:t xml:space="preserve">WB-MKT-400</x:t>
        </x:is>
      </x:c>
      <x:c r="H145" t="inlineStr">
        <x:is>
          <x:t xml:space="preserve">Trade Marketing Investment</x:t>
        </x:is>
      </x:c>
      <x:c r="I145" t="inlineStr">
        <x:is>
          <x:t xml:space="preserve">Cost</x:t>
        </x:is>
      </x:c>
      <x:c r="J145" s="11" t="n">
        <x:v>8.800000000000001</x:v>
      </x:c>
      <x:c r="K145" s="11" t="n">
        <x:v>6.38</x:v>
      </x:c>
      <x:c r="L145" s="11" t="n">
        <x:v>6.17</x:v>
      </x:c>
      <x:c r="M145" s="11" t="n">
        <x:v>8.779999999999999</x:v>
      </x:c>
      <x:c r="N145" s="11">
        <x:f>J145-K145</x:f>
      </x:c>
      <x:c r="O145" s="12">
        <x:f>IF(K145=0,0,N145/K145)</x:f>
      </x:c>
      <x:c r="P145" s="11">
        <x:f>J145-L145</x:f>
      </x:c>
      <x:c r="Q145" s="12">
        <x:f>IF(L145=0,0,P145/L145)</x:f>
      </x:c>
      <x:c r="R145" s="11">
        <x:f>J145-M145</x:f>
      </x:c>
      <x:c r="S145" s="11">
        <x:f>IF(I145="Revenue",N145,-N145)</x:f>
      </x:c>
      <x:c r="T145">
        <x:f>IF(S145&gt;=0,"Favourable","Unfavourable")</x:f>
      </x:c>
      <x:c r="U145" s="11" t="n">
        <x:v>0</x:v>
      </x:c>
      <x:c r="V145" s="11" t="n">
        <x:v>0</x:v>
      </x:c>
      <x:c r="W145" s="11" t="n">
        <x:v>0</x:v>
      </x:c>
      <x:c r="X145" s="11" t="n">
        <x:v>2.42</x:v>
      </x:c>
      <x:c r="Y145" s="11">
        <x:f>ROUND(U145+V145+W145+X145-N145,2)</x:f>
      </x:c>
      <x:c r="Z145">
        <x:f>IF(AND(ABS(ROUND(N145,2))&gt;=0.5,ABS(O145)&gt;=0.05),"Yes","No")</x:f>
      </x:c>
      <x:c r="AA145" t="inlineStr">
        <x:is>
          <x:t xml:space="preserve">Closed actual</x:t>
        </x:is>
      </x:c>
      <x:c r="AB145" t="inlineStr">
        <x:is>
          <x:t xml:space="preserve">Overspend is P08 activity landing late (timing)</x:t>
        </x:is>
      </x:c>
      <x:c r="AC145" t="inlineStr">
        <x:is>
          <x:t xml:space="preserve"/>
        </x:is>
      </x:c>
      <x:c r="AD145" t="inlineStr">
        <x:is>
          <x:t xml:space="preserve">Synthetic - CIE training only</x:t>
        </x:is>
      </x:c>
    </x:row>
    <x:row r="146">
      <x:c r="A146" t="inlineStr">
        <x:is>
          <x:t xml:space="preserve">FIN-0141</x:t>
        </x:is>
      </x:c>
      <x:c r="B146" t="inlineStr">
        <x:is>
          <x:t xml:space="preserve">P09 Sep-2026</x:t>
        </x:is>
      </x:c>
      <x:c r="C146" s="10" t="n">
        <x:v>46295</x:v>
      </x:c>
      <x:c r="D146" t="inlineStr">
        <x:is>
          <x:t xml:space="preserve">Region Atlas</x:t>
        </x:is>
      </x:c>
      <x:c r="E146" t="inlineStr">
        <x:is>
          <x:t xml:space="preserve">Westbrook</x:t>
        </x:is>
      </x:c>
      <x:c r="F146" t="inlineStr">
        <x:is>
          <x:t xml:space="preserve">Commercial</x:t>
        </x:is>
      </x:c>
      <x:c r="G146" t="inlineStr">
        <x:is>
          <x:t xml:space="preserve">WB-COM-110</x:t>
        </x:is>
      </x:c>
      <x:c r="H146" t="inlineStr">
        <x:is>
          <x:t xml:space="preserve">Sales Force Cost</x:t>
        </x:is>
      </x:c>
      <x:c r="I146" t="inlineStr">
        <x:is>
          <x:t xml:space="preserve">Cost</x:t>
        </x:is>
      </x:c>
      <x:c r="J146" s="11" t="n">
        <x:v>3.73</x:v>
      </x:c>
      <x:c r="K146" s="11" t="n">
        <x:v>3.85</x:v>
      </x:c>
      <x:c r="L146" s="11" t="n">
        <x:v>3.67</x:v>
      </x:c>
      <x:c r="M146" s="11" t="n">
        <x:v>3.71</x:v>
      </x:c>
      <x:c r="N146" s="11">
        <x:f>J146-K146</x:f>
      </x:c>
      <x:c r="O146" s="12">
        <x:f>IF(K146=0,0,N146/K146)</x:f>
      </x:c>
      <x:c r="P146" s="11">
        <x:f>J146-L146</x:f>
      </x:c>
      <x:c r="Q146" s="12">
        <x:f>IF(L146=0,0,P146/L146)</x:f>
      </x:c>
      <x:c r="R146" s="11">
        <x:f>J146-M146</x:f>
      </x:c>
      <x:c r="S146" s="11">
        <x:f>IF(I146="Revenue",N146,-N146)</x:f>
      </x:c>
      <x:c r="T146">
        <x:f>IF(S146&gt;=0,"Favourable","Unfavourable")</x:f>
      </x:c>
      <x:c r="U146" s="11" t="n">
        <x:v>-0.06</x:v>
      </x:c>
      <x:c r="V146" s="11" t="n">
        <x:v>-0.04</x:v>
      </x:c>
      <x:c r="W146" s="11" t="n">
        <x:v>-0.01</x:v>
      </x:c>
      <x:c r="X146" s="11" t="n">
        <x:v>-0.01</x:v>
      </x:c>
      <x:c r="Y146" s="11">
        <x:f>ROUND(U146+V146+W146+X146-N146,2)</x:f>
      </x:c>
      <x:c r="Z146">
        <x:f>IF(AND(ABS(ROUND(N146,2))&gt;=0.5,ABS(O146)&gt;=0.05),"Yes","No")</x:f>
      </x:c>
      <x:c r="AA146" t="inlineStr">
        <x:is>
          <x:t xml:space="preserve">Closed actual</x:t>
        </x:is>
      </x:c>
      <x:c r="AB146" t="inlineStr">
        <x:is>
          <x:t xml:space="preserve"/>
        </x:is>
      </x:c>
      <x:c r="AC146" t="inlineStr">
        <x:is>
          <x:t xml:space="preserve"/>
        </x:is>
      </x:c>
      <x:c r="AD146" t="inlineStr">
        <x:is>
          <x:t xml:space="preserve">Synthetic - CIE training only</x:t>
        </x:is>
      </x:c>
    </x:row>
    <x:row r="147">
      <x:c r="A147" t="inlineStr">
        <x:is>
          <x:t xml:space="preserve">FIN-0142</x:t>
        </x:is>
      </x:c>
      <x:c r="B147" t="inlineStr">
        <x:is>
          <x:t xml:space="preserve">P09 Sep-2026</x:t>
        </x:is>
      </x:c>
      <x:c r="C147" s="10" t="n">
        <x:v>46295</x:v>
      </x:c>
      <x:c r="D147" t="inlineStr">
        <x:is>
          <x:t xml:space="preserve">Region Atlas</x:t>
        </x:is>
      </x:c>
      <x:c r="E147" t="inlineStr">
        <x:is>
          <x:t xml:space="preserve">Westbrook</x:t>
        </x:is>
      </x:c>
      <x:c r="F147" t="inlineStr">
        <x:is>
          <x:t xml:space="preserve">Digital &amp; IT</x:t>
        </x:is>
      </x:c>
      <x:c r="G147" t="inlineStr">
        <x:is>
          <x:t xml:space="preserve">WB-DIT-500</x:t>
        </x:is>
      </x:c>
      <x:c r="H147" t="inlineStr">
        <x:is>
          <x:t xml:space="preserve">Digital &amp; IT Cost</x:t>
        </x:is>
      </x:c>
      <x:c r="I147" t="inlineStr">
        <x:is>
          <x:t xml:space="preserve">Cost</x:t>
        </x:is>
      </x:c>
      <x:c r="J147" s="11" t="n">
        <x:v>2.65</x:v>
      </x:c>
      <x:c r="K147" s="11" t="n">
        <x:v>2.63</x:v>
      </x:c>
      <x:c r="L147" s="11" t="n">
        <x:v>2.54</x:v>
      </x:c>
      <x:c r="M147" s="11" t="n">
        <x:v>2.72</x:v>
      </x:c>
      <x:c r="N147" s="11">
        <x:f>J147-K147</x:f>
      </x:c>
      <x:c r="O147" s="12">
        <x:f>IF(K147=0,0,N147/K147)</x:f>
      </x:c>
      <x:c r="P147" s="11">
        <x:f>J147-L147</x:f>
      </x:c>
      <x:c r="Q147" s="12">
        <x:f>IF(L147=0,0,P147/L147)</x:f>
      </x:c>
      <x:c r="R147" s="11">
        <x:f>J147-M147</x:f>
      </x:c>
      <x:c r="S147" s="11">
        <x:f>IF(I147="Revenue",N147,-N147)</x:f>
      </x:c>
      <x:c r="T147">
        <x:f>IF(S147&gt;=0,"Favourable","Unfavourable")</x:f>
      </x:c>
      <x:c r="U147" s="11" t="n">
        <x:v>0.02</x:v>
      </x:c>
      <x:c r="V147" s="11" t="n">
        <x:v>-0.01</x:v>
      </x:c>
      <x:c r="W147" s="11" t="n">
        <x:v>0.02</x:v>
      </x:c>
      <x:c r="X147" s="11" t="n">
        <x:v>-0.01</x:v>
      </x:c>
      <x:c r="Y147" s="11">
        <x:f>ROUND(U147+V147+W147+X147-N147,2)</x:f>
      </x:c>
      <x:c r="Z147">
        <x:f>IF(AND(ABS(ROUND(N147,2))&gt;=0.5,ABS(O147)&gt;=0.05),"Yes","No")</x:f>
      </x:c>
      <x:c r="AA147" t="inlineStr">
        <x:is>
          <x:t xml:space="preserve">Closed actual</x:t>
        </x:is>
      </x:c>
      <x:c r="AB147" t="inlineStr">
        <x:is>
          <x:t xml:space="preserve"/>
        </x:is>
      </x:c>
      <x:c r="AC147" t="inlineStr">
        <x:is>
          <x:t xml:space="preserve"/>
        </x:is>
      </x:c>
      <x:c r="AD147" t="inlineStr">
        <x:is>
          <x:t xml:space="preserve">Synthetic - CIE training only</x:t>
        </x:is>
      </x:c>
    </x:row>
    <x:row r="148">
      <x:c r="A148" t="inlineStr">
        <x:is>
          <x:t xml:space="preserve">FIN-0143</x:t>
        </x:is>
      </x:c>
      <x:c r="B148" t="inlineStr">
        <x:is>
          <x:t xml:space="preserve">P09 Sep-2026</x:t>
        </x:is>
      </x:c>
      <x:c r="C148" s="10" t="n">
        <x:v>46295</x:v>
      </x:c>
      <x:c r="D148" t="inlineStr">
        <x:is>
          <x:t xml:space="preserve">Region Atlas</x:t>
        </x:is>
      </x:c>
      <x:c r="E148" t="inlineStr">
        <x:is>
          <x:t xml:space="preserve">Westbrook</x:t>
        </x:is>
      </x:c>
      <x:c r="F148" t="inlineStr">
        <x:is>
          <x:t xml:space="preserve">Finance</x:t>
        </x:is>
      </x:c>
      <x:c r="G148" t="inlineStr">
        <x:is>
          <x:t xml:space="preserve">WB-FIN-600</x:t>
        </x:is>
      </x:c>
      <x:c r="H148" t="inlineStr">
        <x:is>
          <x:t xml:space="preserve">General &amp; Admin Cost</x:t>
        </x:is>
      </x:c>
      <x:c r="I148" t="inlineStr">
        <x:is>
          <x:t xml:space="preserve">Cost</x:t>
        </x:is>
      </x:c>
      <x:c r="J148" s="11" t="n">
        <x:v>2.07</x:v>
      </x:c>
      <x:c r="K148" s="11" t="n">
        <x:v>2.04</x:v>
      </x:c>
      <x:c r="L148" s="11" t="n">
        <x:v>1.99</x:v>
      </x:c>
      <x:c r="M148" s="11" t="n">
        <x:v>2.09</x:v>
      </x:c>
      <x:c r="N148" s="11">
        <x:f>J148-K148</x:f>
      </x:c>
      <x:c r="O148" s="12">
        <x:f>IF(K148=0,0,N148/K148)</x:f>
      </x:c>
      <x:c r="P148" s="11">
        <x:f>J148-L148</x:f>
      </x:c>
      <x:c r="Q148" s="12">
        <x:f>IF(L148=0,0,P148/L148)</x:f>
      </x:c>
      <x:c r="R148" s="11">
        <x:f>J148-M148</x:f>
      </x:c>
      <x:c r="S148" s="11">
        <x:f>IF(I148="Revenue",N148,-N148)</x:f>
      </x:c>
      <x:c r="T148">
        <x:f>IF(S148&gt;=0,"Favourable","Unfavourable")</x:f>
      </x:c>
      <x:c r="U148" s="11" t="n">
        <x:v>0.02</x:v>
      </x:c>
      <x:c r="V148" s="11" t="n">
        <x:v>-0.01</x:v>
      </x:c>
      <x:c r="W148" s="11" t="n">
        <x:v>0.01</x:v>
      </x:c>
      <x:c r="X148" s="11" t="n">
        <x:v>0.01</x:v>
      </x:c>
      <x:c r="Y148" s="11">
        <x:f>ROUND(U148+V148+W148+X148-N148,2)</x:f>
      </x:c>
      <x:c r="Z148">
        <x:f>IF(AND(ABS(ROUND(N148,2))&gt;=0.5,ABS(O148)&gt;=0.05),"Yes","No")</x:f>
      </x:c>
      <x:c r="AA148" t="inlineStr">
        <x:is>
          <x:t xml:space="preserve">Closed actual</x:t>
        </x:is>
      </x:c>
      <x:c r="AB148" t="inlineStr">
        <x:is>
          <x:t xml:space="preserve"/>
        </x:is>
      </x:c>
      <x:c r="AC148" t="inlineStr">
        <x:is>
          <x:t xml:space="preserve"/>
        </x:is>
      </x:c>
      <x:c r="AD148" t="inlineStr">
        <x:is>
          <x:t xml:space="preserve">Synthetic - CIE training only</x:t>
        </x:is>
      </x:c>
    </x:row>
    <x:row r="149">
      <x:c r="A149" t="inlineStr">
        <x:is>
          <x:t xml:space="preserve">FIN-0144</x:t>
        </x:is>
      </x:c>
      <x:c r="B149" t="inlineStr">
        <x:is>
          <x:t xml:space="preserve">P09 Sep-2026</x:t>
        </x:is>
      </x:c>
      <x:c r="C149" s="10" t="n">
        <x:v>46295</x:v>
      </x:c>
      <x:c r="D149" t="inlineStr">
        <x:is>
          <x:t xml:space="preserve">Region Atlas</x:t>
        </x:is>
      </x:c>
      <x:c r="E149" t="inlineStr">
        <x:is>
          <x:t xml:space="preserve">Westbrook</x:t>
        </x:is>
      </x:c>
      <x:c r="F149" t="inlineStr">
        <x:is>
          <x:t xml:space="preserve">Operations</x:t>
        </x:is>
      </x:c>
      <x:c r="G149" t="inlineStr">
        <x:is>
          <x:t xml:space="preserve">WB-OPS-210</x:t>
        </x:is>
      </x:c>
      <x:c r="H149" t="inlineStr">
        <x:is>
          <x:t xml:space="preserve">Facilities Cost</x:t>
        </x:is>
      </x:c>
      <x:c r="I149" t="inlineStr">
        <x:is>
          <x:t xml:space="preserve">Cost</x:t>
        </x:is>
      </x:c>
      <x:c r="J149" s="11" t="n">
        <x:v>1.32</x:v>
      </x:c>
      <x:c r="K149" s="11" t="n">
        <x:v>1.33</x:v>
      </x:c>
      <x:c r="L149" s="11" t="n">
        <x:v>1.31</x:v>
      </x:c>
      <x:c r="M149" s="11" t="n">
        <x:v>1.32</x:v>
      </x:c>
      <x:c r="N149" s="11">
        <x:f>J149-K149</x:f>
      </x:c>
      <x:c r="O149" s="12">
        <x:f>IF(K149=0,0,N149/K149)</x:f>
      </x:c>
      <x:c r="P149" s="11">
        <x:f>J149-L149</x:f>
      </x:c>
      <x:c r="Q149" s="12">
        <x:f>IF(L149=0,0,P149/L149)</x:f>
      </x:c>
      <x:c r="R149" s="11">
        <x:f>J149-M149</x:f>
      </x:c>
      <x:c r="S149" s="11">
        <x:f>IF(I149="Revenue",N149,-N149)</x:f>
      </x:c>
      <x:c r="T149">
        <x:f>IF(S149&gt;=0,"Favourable","Unfavourable")</x:f>
      </x:c>
      <x:c r="U149" s="11" t="n">
        <x:v>-0.01</x:v>
      </x:c>
      <x:c r="V149" s="11" t="n">
        <x:v>0</x:v>
      </x:c>
      <x:c r="W149" s="11" t="n">
        <x:v>0</x:v>
      </x:c>
      <x:c r="X149" s="11" t="n">
        <x:v>0</x:v>
      </x:c>
      <x:c r="Y149" s="11">
        <x:f>ROUND(U149+V149+W149+X149-N149,2)</x:f>
      </x:c>
      <x:c r="Z149">
        <x:f>IF(AND(ABS(ROUND(N149,2))&gt;=0.5,ABS(O149)&gt;=0.05),"Yes","No")</x:f>
      </x:c>
      <x:c r="AA149" t="inlineStr">
        <x:is>
          <x:t xml:space="preserve">Closed actual</x:t>
        </x:is>
      </x:c>
      <x:c r="AB149" t="inlineStr">
        <x:is>
          <x:t xml:space="preserve"/>
        </x:is>
      </x:c>
      <x:c r="AC149" t="inlineStr">
        <x:is>
          <x:t xml:space="preserve"/>
        </x:is>
      </x:c>
      <x:c r="AD149" t="inlineStr">
        <x:is>
          <x:t xml:space="preserve">Synthetic - CIE training only</x:t>
        </x:is>
      </x:c>
    </x:row>
    <x:row r="150">
      <x:c r="A150" t="inlineStr">
        <x:is>
          <x:t xml:space="preserve">FIN-0145</x:t>
        </x:is>
      </x:c>
      <x:c r="B150" t="inlineStr">
        <x:is>
          <x:t xml:space="preserve">P09 Sep-2026</x:t>
        </x:is>
      </x:c>
      <x:c r="C150" s="10" t="n">
        <x:v>46295</x:v>
      </x:c>
      <x:c r="D150" t="inlineStr">
        <x:is>
          <x:t xml:space="preserve">Region Atlas</x:t>
        </x:is>
      </x:c>
      <x:c r="E150" t="inlineStr">
        <x:is>
          <x:t xml:space="preserve">Centralis</x:t>
        </x:is>
      </x:c>
      <x:c r="F150" t="inlineStr">
        <x:is>
          <x:t xml:space="preserve">Commercial</x:t>
        </x:is>
      </x:c>
      <x:c r="G150" t="inlineStr">
        <x:is>
          <x:t xml:space="preserve">CE-COM-100</x:t>
        </x:is>
      </x:c>
      <x:c r="H150" t="inlineStr">
        <x:is>
          <x:t xml:space="preserve">Net Revenue</x:t>
        </x:is>
      </x:c>
      <x:c r="I150" t="inlineStr">
        <x:is>
          <x:t xml:space="preserve">Revenue</x:t>
        </x:is>
      </x:c>
      <x:c r="J150" s="11" t="n">
        <x:v>43.92</x:v>
      </x:c>
      <x:c r="K150" s="11" t="n">
        <x:v>45.38</x:v>
      </x:c>
      <x:c r="L150" s="11" t="n">
        <x:v>44.42</x:v>
      </x:c>
      <x:c r="M150" s="11" t="n">
        <x:v>43.6</x:v>
      </x:c>
      <x:c r="N150" s="11">
        <x:f>J150-K150</x:f>
      </x:c>
      <x:c r="O150" s="12">
        <x:f>IF(K150=0,0,N150/K150)</x:f>
      </x:c>
      <x:c r="P150" s="11">
        <x:f>J150-L150</x:f>
      </x:c>
      <x:c r="Q150" s="12">
        <x:f>IF(L150=0,0,P150/L150)</x:f>
      </x:c>
      <x:c r="R150" s="11">
        <x:f>J150-M150</x:f>
      </x:c>
      <x:c r="S150" s="11">
        <x:f>IF(I150="Revenue",N150,-N150)</x:f>
      </x:c>
      <x:c r="T150">
        <x:f>IF(S150&gt;=0,"Favourable","Unfavourable")</x:f>
      </x:c>
      <x:c r="U150" s="11" t="n">
        <x:v>-0.95</x:v>
      </x:c>
      <x:c r="V150" s="11" t="n">
        <x:v>-0.54</x:v>
      </x:c>
      <x:c r="W150" s="11" t="n">
        <x:v>-0.01</x:v>
      </x:c>
      <x:c r="X150" s="11" t="n">
        <x:v>0.04</x:v>
      </x:c>
      <x:c r="Y150" s="11">
        <x:f>ROUND(U150+V150+W150+X150-N150,2)</x:f>
      </x:c>
      <x:c r="Z150">
        <x:f>IF(AND(ABS(ROUND(N150,2))&gt;=0.5,ABS(O150)&gt;=0.05),"Yes","No")</x:f>
      </x:c>
      <x:c r="AA150" t="inlineStr">
        <x:is>
          <x:t xml:space="preserve">Closed actual</x:t>
        </x:is>
      </x:c>
      <x:c r="AB150" t="inlineStr">
        <x:is>
          <x:t xml:space="preserve"/>
        </x:is>
      </x:c>
      <x:c r="AC150" t="inlineStr">
        <x:is>
          <x:t xml:space="preserve"/>
        </x:is>
      </x:c>
      <x:c r="AD150" t="inlineStr">
        <x:is>
          <x:t xml:space="preserve">Synthetic - CIE training only</x:t>
        </x:is>
      </x:c>
    </x:row>
    <x:row r="151">
      <x:c r="A151" t="inlineStr">
        <x:is>
          <x:t xml:space="preserve">FIN-0146</x:t>
        </x:is>
      </x:c>
      <x:c r="B151" t="inlineStr">
        <x:is>
          <x:t xml:space="preserve">P09 Sep-2026</x:t>
        </x:is>
      </x:c>
      <x:c r="C151" s="10" t="n">
        <x:v>46295</x:v>
      </x:c>
      <x:c r="D151" t="inlineStr">
        <x:is>
          <x:t xml:space="preserve">Region Atlas</x:t>
        </x:is>
      </x:c>
      <x:c r="E151" t="inlineStr">
        <x:is>
          <x:t xml:space="preserve">Centralis</x:t>
        </x:is>
      </x:c>
      <x:c r="F151" t="inlineStr">
        <x:is>
          <x:t xml:space="preserve">Finance</x:t>
        </x:is>
      </x:c>
      <x:c r="G151" t="inlineStr">
        <x:is>
          <x:t xml:space="preserve">CE-FIN-900</x:t>
        </x:is>
      </x:c>
      <x:c r="H151" t="inlineStr">
        <x:is>
          <x:t xml:space="preserve">Other Operating Income</x:t>
        </x:is>
      </x:c>
      <x:c r="I151" t="inlineStr">
        <x:is>
          <x:t xml:space="preserve">Revenue</x:t>
        </x:is>
      </x:c>
      <x:c r="J151" s="11" t="n">
        <x:v>1.22</x:v>
      </x:c>
      <x:c r="K151" s="11" t="n">
        <x:v>1.22</x:v>
      </x:c>
      <x:c r="L151" s="11" t="n">
        <x:v>1.18</x:v>
      </x:c>
      <x:c r="M151" s="11" t="n">
        <x:v>1.22</x:v>
      </x:c>
      <x:c r="N151" s="11">
        <x:f>J151-K151</x:f>
      </x:c>
      <x:c r="O151" s="12">
        <x:f>IF(K151=0,0,N151/K151)</x:f>
      </x:c>
      <x:c r="P151" s="11">
        <x:f>J151-L151</x:f>
      </x:c>
      <x:c r="Q151" s="12">
        <x:f>IF(L151=0,0,P151/L151)</x:f>
      </x:c>
      <x:c r="R151" s="11">
        <x:f>J151-M151</x:f>
      </x:c>
      <x:c r="S151" s="11">
        <x:f>IF(I151="Revenue",N151,-N151)</x:f>
      </x:c>
      <x:c r="T151">
        <x:f>IF(S151&gt;=0,"Favourable","Unfavourable")</x:f>
      </x:c>
      <x:c r="U151" s="11" t="n">
        <x:v>0</x:v>
      </x:c>
      <x:c r="V151" s="11" t="n">
        <x:v>0.01</x:v>
      </x:c>
      <x:c r="W151" s="11" t="n">
        <x:v>0</x:v>
      </x:c>
      <x:c r="X151" s="11" t="n">
        <x:v>-0.01</x:v>
      </x:c>
      <x:c r="Y151" s="11">
        <x:f>ROUND(U151+V151+W151+X151-N151,2)</x:f>
      </x:c>
      <x:c r="Z151">
        <x:f>IF(AND(ABS(ROUND(N151,2))&gt;=0.5,ABS(O151)&gt;=0.05),"Yes","No")</x:f>
      </x:c>
      <x:c r="AA151" t="inlineStr">
        <x:is>
          <x:t xml:space="preserve">Closed actual</x:t>
        </x:is>
      </x:c>
      <x:c r="AB151" t="inlineStr">
        <x:is>
          <x:t xml:space="preserve"/>
        </x:is>
      </x:c>
      <x:c r="AC151" t="inlineStr">
        <x:is>
          <x:t xml:space="preserve"/>
        </x:is>
      </x:c>
      <x:c r="AD151" t="inlineStr">
        <x:is>
          <x:t xml:space="preserve">Synthetic - CIE training only</x:t>
        </x:is>
      </x:c>
    </x:row>
    <x:row r="152">
      <x:c r="A152" t="inlineStr">
        <x:is>
          <x:t xml:space="preserve">FIN-0147</x:t>
        </x:is>
      </x:c>
      <x:c r="B152" t="inlineStr">
        <x:is>
          <x:t xml:space="preserve">P09 Sep-2026</x:t>
        </x:is>
      </x:c>
      <x:c r="C152" s="10" t="n">
        <x:v>46295</x:v>
      </x:c>
      <x:c r="D152" t="inlineStr">
        <x:is>
          <x:t xml:space="preserve">Region Atlas</x:t>
        </x:is>
      </x:c>
      <x:c r="E152" t="inlineStr">
        <x:is>
          <x:t xml:space="preserve">Centralis</x:t>
        </x:is>
      </x:c>
      <x:c r="F152" t="inlineStr">
        <x:is>
          <x:t xml:space="preserve">Operations</x:t>
        </x:is>
      </x:c>
      <x:c r="G152" t="inlineStr">
        <x:is>
          <x:t xml:space="preserve">CE-OPS-200</x:t>
        </x:is>
      </x:c>
      <x:c r="H152" t="inlineStr">
        <x:is>
          <x:t xml:space="preserve">Cost of Goods Sold</x:t>
        </x:is>
      </x:c>
      <x:c r="I152" t="inlineStr">
        <x:is>
          <x:t xml:space="preserve">Cost</x:t>
        </x:is>
      </x:c>
      <x:c r="J152" s="11" t="n">
        <x:v>18.17</x:v>
      </x:c>
      <x:c r="K152" s="11" t="n">
        <x:v>17.96</x:v>
      </x:c>
      <x:c r="L152" s="11" t="n">
        <x:v>17.38</x:v>
      </x:c>
      <x:c r="M152" s="11" t="n">
        <x:v>17.89</x:v>
      </x:c>
      <x:c r="N152" s="11">
        <x:f>J152-K152</x:f>
      </x:c>
      <x:c r="O152" s="12">
        <x:f>IF(K152=0,0,N152/K152)</x:f>
      </x:c>
      <x:c r="P152" s="11">
        <x:f>J152-L152</x:f>
      </x:c>
      <x:c r="Q152" s="12">
        <x:f>IF(L152=0,0,P152/L152)</x:f>
      </x:c>
      <x:c r="R152" s="11">
        <x:f>J152-M152</x:f>
      </x:c>
      <x:c r="S152" s="11">
        <x:f>IF(I152="Revenue",N152,-N152)</x:f>
      </x:c>
      <x:c r="T152">
        <x:f>IF(S152&gt;=0,"Favourable","Unfavourable")</x:f>
      </x:c>
      <x:c r="U152" s="11" t="n">
        <x:v>0.22</x:v>
      </x:c>
      <x:c r="V152" s="11" t="n">
        <x:v>0.06</x:v>
      </x:c>
      <x:c r="W152" s="11" t="n">
        <x:v>-0.05</x:v>
      </x:c>
      <x:c r="X152" s="11" t="n">
        <x:v>-0.02</x:v>
      </x:c>
      <x:c r="Y152" s="11">
        <x:f>ROUND(U152+V152+W152+X152-N152,2)</x:f>
      </x:c>
      <x:c r="Z152">
        <x:f>IF(AND(ABS(ROUND(N152,2))&gt;=0.5,ABS(O152)&gt;=0.05),"Yes","No")</x:f>
      </x:c>
      <x:c r="AA152" t="inlineStr">
        <x:is>
          <x:t xml:space="preserve">Closed actual</x:t>
        </x:is>
      </x:c>
      <x:c r="AB152" t="inlineStr">
        <x:is>
          <x:t xml:space="preserve"/>
        </x:is>
      </x:c>
      <x:c r="AC152" t="inlineStr">
        <x:is>
          <x:t xml:space="preserve"/>
        </x:is>
      </x:c>
      <x:c r="AD152" t="inlineStr">
        <x:is>
          <x:t xml:space="preserve">Synthetic - CIE training only</x:t>
        </x:is>
      </x:c>
    </x:row>
    <x:row r="153">
      <x:c r="A153" t="inlineStr">
        <x:is>
          <x:t xml:space="preserve">FIN-0148</x:t>
        </x:is>
      </x:c>
      <x:c r="B153" t="inlineStr">
        <x:is>
          <x:t xml:space="preserve">P09 Sep-2026</x:t>
        </x:is>
      </x:c>
      <x:c r="C153" s="10" t="n">
        <x:v>46295</x:v>
      </x:c>
      <x:c r="D153" t="inlineStr">
        <x:is>
          <x:t xml:space="preserve">Region Atlas</x:t>
        </x:is>
      </x:c>
      <x:c r="E153" t="inlineStr">
        <x:is>
          <x:t xml:space="preserve">Centralis</x:t>
        </x:is>
      </x:c>
      <x:c r="F153" t="inlineStr">
        <x:is>
          <x:t xml:space="preserve">Supply Chain</x:t>
        </x:is>
      </x:c>
      <x:c r="G153" t="inlineStr">
        <x:is>
          <x:t xml:space="preserve">CE-SCM-300</x:t>
        </x:is>
      </x:c>
      <x:c r="H153" t="inlineStr">
        <x:is>
          <x:t xml:space="preserve">Logistics &amp; Distribution</x:t>
        </x:is>
      </x:c>
      <x:c r="I153" t="inlineStr">
        <x:is>
          <x:t xml:space="preserve">Cost</x:t>
        </x:is>
      </x:c>
      <x:c r="J153" s="11" t="n">
        <x:v>4.14</x:v>
      </x:c>
      <x:c r="K153" s="11" t="n">
        <x:v>3.48</x:v>
      </x:c>
      <x:c r="L153" s="11" t="n">
        <x:v>3.44</x:v>
      </x:c>
      <x:c r="M153" s="11" t="n">
        <x:v>4.14</x:v>
      </x:c>
      <x:c r="N153" s="11">
        <x:f>J153-K153</x:f>
      </x:c>
      <x:c r="O153" s="12">
        <x:f>IF(K153=0,0,N153/K153)</x:f>
      </x:c>
      <x:c r="P153" s="11">
        <x:f>J153-L153</x:f>
      </x:c>
      <x:c r="Q153" s="12">
        <x:f>IF(L153=0,0,P153/L153)</x:f>
      </x:c>
      <x:c r="R153" s="11">
        <x:f>J153-M153</x:f>
      </x:c>
      <x:c r="S153" s="11">
        <x:f>IF(I153="Revenue",N153,-N153)</x:f>
      </x:c>
      <x:c r="T153">
        <x:f>IF(S153&gt;=0,"Favourable","Unfavourable")</x:f>
      </x:c>
      <x:c r="U153" s="11" t="n">
        <x:v>0</x:v>
      </x:c>
      <x:c r="V153" s="11" t="n">
        <x:v>0.66</x:v>
      </x:c>
      <x:c r="W153" s="11" t="n">
        <x:v>0.01</x:v>
      </x:c>
      <x:c r="X153" s="11" t="n">
        <x:v>-0.01</x:v>
      </x:c>
      <x:c r="Y153" s="11">
        <x:f>ROUND(U153+V153+W153+X153-N153,2)</x:f>
      </x:c>
      <x:c r="Z153">
        <x:f>IF(AND(ABS(ROUND(N153,2))&gt;=0.5,ABS(O153)&gt;=0.05),"Yes","No")</x:f>
      </x:c>
      <x:c r="AA153" t="inlineStr">
        <x:is>
          <x:t xml:space="preserve">Closed actual</x:t>
        </x:is>
      </x:c>
      <x:c r="AB153" t="inlineStr">
        <x:is>
          <x:t xml:space="preserve">Freight and fuel rate increases (fictional carrier contract)</x:t>
        </x:is>
      </x:c>
      <x:c r="AC153" t="inlineStr">
        <x:is>
          <x:t xml:space="preserve"/>
        </x:is>
      </x:c>
      <x:c r="AD153" t="inlineStr">
        <x:is>
          <x:t xml:space="preserve">Synthetic - CIE training only</x:t>
        </x:is>
      </x:c>
    </x:row>
    <x:row r="154">
      <x:c r="A154" t="inlineStr">
        <x:is>
          <x:t xml:space="preserve">FIN-0149</x:t>
        </x:is>
      </x:c>
      <x:c r="B154" t="inlineStr">
        <x:is>
          <x:t xml:space="preserve">P09 Sep-2026</x:t>
        </x:is>
      </x:c>
      <x:c r="C154" s="10" t="n">
        <x:v>46295</x:v>
      </x:c>
      <x:c r="D154" t="inlineStr">
        <x:is>
          <x:t xml:space="preserve">Region Atlas</x:t>
        </x:is>
      </x:c>
      <x:c r="E154" t="inlineStr">
        <x:is>
          <x:t xml:space="preserve">Centralis</x:t>
        </x:is>
      </x:c>
      <x:c r="F154" t="inlineStr">
        <x:is>
          <x:t xml:space="preserve">Marketing</x:t>
        </x:is>
      </x:c>
      <x:c r="G154" t="inlineStr">
        <x:is>
          <x:t xml:space="preserve">CE-MKT-400</x:t>
        </x:is>
      </x:c>
      <x:c r="H154" t="inlineStr">
        <x:is>
          <x:t xml:space="preserve">Trade Marketing Investment</x:t>
        </x:is>
      </x:c>
      <x:c r="I154" t="inlineStr">
        <x:is>
          <x:t xml:space="preserve">Cost</x:t>
        </x:is>
      </x:c>
      <x:c r="J154" s="11" t="n">
        <x:v>4.58</x:v>
      </x:c>
      <x:c r="K154" s="11" t="n">
        <x:v>4.56</x:v>
      </x:c>
      <x:c r="L154" s="11" t="n">
        <x:v>4.26</x:v>
      </x:c>
      <x:c r="M154" s="11" t="n">
        <x:v>4.56</x:v>
      </x:c>
      <x:c r="N154" s="11">
        <x:f>J154-K154</x:f>
      </x:c>
      <x:c r="O154" s="12">
        <x:f>IF(K154=0,0,N154/K154)</x:f>
      </x:c>
      <x:c r="P154" s="11">
        <x:f>J154-L154</x:f>
      </x:c>
      <x:c r="Q154" s="12">
        <x:f>IF(L154=0,0,P154/L154)</x:f>
      </x:c>
      <x:c r="R154" s="11">
        <x:f>J154-M154</x:f>
      </x:c>
      <x:c r="S154" s="11">
        <x:f>IF(I154="Revenue",N154,-N154)</x:f>
      </x:c>
      <x:c r="T154">
        <x:f>IF(S154&gt;=0,"Favourable","Unfavourable")</x:f>
      </x:c>
      <x:c r="U154" s="11" t="n">
        <x:v>-0.01</x:v>
      </x:c>
      <x:c r="V154" s="11" t="n">
        <x:v>0.02</x:v>
      </x:c>
      <x:c r="W154" s="11" t="n">
        <x:v>0.01</x:v>
      </x:c>
      <x:c r="X154" s="11" t="n">
        <x:v>0</x:v>
      </x:c>
      <x:c r="Y154" s="11">
        <x:f>ROUND(U154+V154+W154+X154-N154,2)</x:f>
      </x:c>
      <x:c r="Z154">
        <x:f>IF(AND(ABS(ROUND(N154,2))&gt;=0.5,ABS(O154)&gt;=0.05),"Yes","No")</x:f>
      </x:c>
      <x:c r="AA154" t="inlineStr">
        <x:is>
          <x:t xml:space="preserve">Closed actual</x:t>
        </x:is>
      </x:c>
      <x:c r="AB154" t="inlineStr">
        <x:is>
          <x:t xml:space="preserve"/>
        </x:is>
      </x:c>
      <x:c r="AC154" t="inlineStr">
        <x:is>
          <x:t xml:space="preserve"/>
        </x:is>
      </x:c>
      <x:c r="AD154" t="inlineStr">
        <x:is>
          <x:t xml:space="preserve">Synthetic - CIE training only</x:t>
        </x:is>
      </x:c>
    </x:row>
    <x:row r="155">
      <x:c r="A155" t="inlineStr">
        <x:is>
          <x:t xml:space="preserve">FIN-0150</x:t>
        </x:is>
      </x:c>
      <x:c r="B155" t="inlineStr">
        <x:is>
          <x:t xml:space="preserve">P09 Sep-2026</x:t>
        </x:is>
      </x:c>
      <x:c r="C155" s="10" t="n">
        <x:v>46295</x:v>
      </x:c>
      <x:c r="D155" t="inlineStr">
        <x:is>
          <x:t xml:space="preserve">Region Atlas</x:t>
        </x:is>
      </x:c>
      <x:c r="E155" t="inlineStr">
        <x:is>
          <x:t xml:space="preserve">Centralis</x:t>
        </x:is>
      </x:c>
      <x:c r="F155" t="inlineStr">
        <x:is>
          <x:t xml:space="preserve">Commercial</x:t>
        </x:is>
      </x:c>
      <x:c r="G155" t="inlineStr">
        <x:is>
          <x:t xml:space="preserve">CE-COM-110</x:t>
        </x:is>
      </x:c>
      <x:c r="H155" t="inlineStr">
        <x:is>
          <x:t xml:space="preserve">Sales Force Cost</x:t>
        </x:is>
      </x:c>
      <x:c r="I155" t="inlineStr">
        <x:is>
          <x:t xml:space="preserve">Cost</x:t>
        </x:is>
      </x:c>
      <x:c r="J155" s="11" t="n">
        <x:v>2.83</x:v>
      </x:c>
      <x:c r="K155" s="11" t="n">
        <x:v>2.79</x:v>
      </x:c>
      <x:c r="L155" s="11" t="n">
        <x:v>2.64</x:v>
      </x:c>
      <x:c r="M155" s="11" t="n">
        <x:v>2.82</x:v>
      </x:c>
      <x:c r="N155" s="11">
        <x:f>J155-K155</x:f>
      </x:c>
      <x:c r="O155" s="12">
        <x:f>IF(K155=0,0,N155/K155)</x:f>
      </x:c>
      <x:c r="P155" s="11">
        <x:f>J155-L155</x:f>
      </x:c>
      <x:c r="Q155" s="12">
        <x:f>IF(L155=0,0,P155/L155)</x:f>
      </x:c>
      <x:c r="R155" s="11">
        <x:f>J155-M155</x:f>
      </x:c>
      <x:c r="S155" s="11">
        <x:f>IF(I155="Revenue",N155,-N155)</x:f>
      </x:c>
      <x:c r="T155">
        <x:f>IF(S155&gt;=0,"Favourable","Unfavourable")</x:f>
      </x:c>
      <x:c r="U155" s="11" t="n">
        <x:v>-0.02</x:v>
      </x:c>
      <x:c r="V155" s="11" t="n">
        <x:v>0.04</x:v>
      </x:c>
      <x:c r="W155" s="11" t="n">
        <x:v>0.02</x:v>
      </x:c>
      <x:c r="X155" s="11" t="n">
        <x:v>0</x:v>
      </x:c>
      <x:c r="Y155" s="11">
        <x:f>ROUND(U155+V155+W155+X155-N155,2)</x:f>
      </x:c>
      <x:c r="Z155">
        <x:f>IF(AND(ABS(ROUND(N155,2))&gt;=0.5,ABS(O155)&gt;=0.05),"Yes","No")</x:f>
      </x:c>
      <x:c r="AA155" t="inlineStr">
        <x:is>
          <x:t xml:space="preserve">Closed actual</x:t>
        </x:is>
      </x:c>
      <x:c r="AB155" t="inlineStr">
        <x:is>
          <x:t xml:space="preserve"/>
        </x:is>
      </x:c>
      <x:c r="AC155" t="inlineStr">
        <x:is>
          <x:t xml:space="preserve"/>
        </x:is>
      </x:c>
      <x:c r="AD155" t="inlineStr">
        <x:is>
          <x:t xml:space="preserve">Synthetic - CIE training only</x:t>
        </x:is>
      </x:c>
    </x:row>
    <x:row r="156">
      <x:c r="A156" t="inlineStr">
        <x:is>
          <x:t xml:space="preserve">FIN-0151</x:t>
        </x:is>
      </x:c>
      <x:c r="B156" t="inlineStr">
        <x:is>
          <x:t xml:space="preserve">P09 Sep-2026</x:t>
        </x:is>
      </x:c>
      <x:c r="C156" s="10" t="n">
        <x:v>46295</x:v>
      </x:c>
      <x:c r="D156" t="inlineStr">
        <x:is>
          <x:t xml:space="preserve">Region Atlas</x:t>
        </x:is>
      </x:c>
      <x:c r="E156" t="inlineStr">
        <x:is>
          <x:t xml:space="preserve">Centralis</x:t>
        </x:is>
      </x:c>
      <x:c r="F156" t="inlineStr">
        <x:is>
          <x:t xml:space="preserve">Digital &amp; IT</x:t>
        </x:is>
      </x:c>
      <x:c r="G156" t="inlineStr">
        <x:is>
          <x:t xml:space="preserve">CE-DIT-500</x:t>
        </x:is>
      </x:c>
      <x:c r="H156" t="inlineStr">
        <x:is>
          <x:t xml:space="preserve">Digital &amp; IT Cost</x:t>
        </x:is>
      </x:c>
      <x:c r="I156" t="inlineStr">
        <x:is>
          <x:t xml:space="preserve">Cost</x:t>
        </x:is>
      </x:c>
      <x:c r="J156" s="11" t="n">
        <x:v>2.05</x:v>
      </x:c>
      <x:c r="K156" s="11" t="n">
        <x:v>2.05</x:v>
      </x:c>
      <x:c r="L156" s="11" t="n">
        <x:v>1.92</x:v>
      </x:c>
      <x:c r="M156" s="11" t="n">
        <x:v>2.06</x:v>
      </x:c>
      <x:c r="N156" s="11">
        <x:f>J156-K156</x:f>
      </x:c>
      <x:c r="O156" s="12">
        <x:f>IF(K156=0,0,N156/K156)</x:f>
      </x:c>
      <x:c r="P156" s="11">
        <x:f>J156-L156</x:f>
      </x:c>
      <x:c r="Q156" s="12">
        <x:f>IF(L156=0,0,P156/L156)</x:f>
      </x:c>
      <x:c r="R156" s="11">
        <x:f>J156-M156</x:f>
      </x:c>
      <x:c r="S156" s="11">
        <x:f>IF(I156="Revenue",N156,-N156)</x:f>
      </x:c>
      <x:c r="T156">
        <x:f>IF(S156&gt;=0,"Favourable","Unfavourable")</x:f>
      </x:c>
      <x:c r="U156" s="11" t="n">
        <x:v>0</x:v>
      </x:c>
      <x:c r="V156" s="11" t="n">
        <x:v>0.02</x:v>
      </x:c>
      <x:c r="W156" s="11" t="n">
        <x:v>-0.03</x:v>
      </x:c>
      <x:c r="X156" s="11" t="n">
        <x:v>0.01</x:v>
      </x:c>
      <x:c r="Y156" s="11">
        <x:f>ROUND(U156+V156+W156+X156-N156,2)</x:f>
      </x:c>
      <x:c r="Z156">
        <x:f>IF(AND(ABS(ROUND(N156,2))&gt;=0.5,ABS(O156)&gt;=0.05),"Yes","No")</x:f>
      </x:c>
      <x:c r="AA156" t="inlineStr">
        <x:is>
          <x:t xml:space="preserve">Closed actual</x:t>
        </x:is>
      </x:c>
      <x:c r="AB156" t="inlineStr">
        <x:is>
          <x:t xml:space="preserve"/>
        </x:is>
      </x:c>
      <x:c r="AC156" t="inlineStr">
        <x:is>
          <x:t xml:space="preserve"/>
        </x:is>
      </x:c>
      <x:c r="AD156" t="inlineStr">
        <x:is>
          <x:t xml:space="preserve">Synthetic - CIE training only</x:t>
        </x:is>
      </x:c>
    </x:row>
    <x:row r="157">
      <x:c r="A157" t="inlineStr">
        <x:is>
          <x:t xml:space="preserve">FIN-0152</x:t>
        </x:is>
      </x:c>
      <x:c r="B157" t="inlineStr">
        <x:is>
          <x:t xml:space="preserve">P09 Sep-2026</x:t>
        </x:is>
      </x:c>
      <x:c r="C157" s="10" t="n">
        <x:v>46295</x:v>
      </x:c>
      <x:c r="D157" t="inlineStr">
        <x:is>
          <x:t xml:space="preserve">Region Atlas</x:t>
        </x:is>
      </x:c>
      <x:c r="E157" t="inlineStr">
        <x:is>
          <x:t xml:space="preserve">Centralis</x:t>
        </x:is>
      </x:c>
      <x:c r="F157" t="inlineStr">
        <x:is>
          <x:t xml:space="preserve">Finance</x:t>
        </x:is>
      </x:c>
      <x:c r="G157" t="inlineStr">
        <x:is>
          <x:t xml:space="preserve">CE-FIN-600</x:t>
        </x:is>
      </x:c>
      <x:c r="H157" t="inlineStr">
        <x:is>
          <x:t xml:space="preserve">General &amp; Admin Cost</x:t>
        </x:is>
      </x:c>
      <x:c r="I157" t="inlineStr">
        <x:is>
          <x:t xml:space="preserve">Cost</x:t>
        </x:is>
      </x:c>
      <x:c r="J157" s="11" t="n">
        <x:v>1.48</x:v>
      </x:c>
      <x:c r="K157" s="11" t="n">
        <x:v>1.48</x:v>
      </x:c>
      <x:c r="L157" s="11" t="n">
        <x:v>1.38</x:v>
      </x:c>
      <x:c r="M157" s="11" t="n">
        <x:v>1.51</x:v>
      </x:c>
      <x:c r="N157" s="11">
        <x:f>J157-K157</x:f>
      </x:c>
      <x:c r="O157" s="12">
        <x:f>IF(K157=0,0,N157/K157)</x:f>
      </x:c>
      <x:c r="P157" s="11">
        <x:f>J157-L157</x:f>
      </x:c>
      <x:c r="Q157" s="12">
        <x:f>IF(L157=0,0,P157/L157)</x:f>
      </x:c>
      <x:c r="R157" s="11">
        <x:f>J157-M157</x:f>
      </x:c>
      <x:c r="S157" s="11">
        <x:f>IF(I157="Revenue",N157,-N157)</x:f>
      </x:c>
      <x:c r="T157">
        <x:f>IF(S157&gt;=0,"Favourable","Unfavourable")</x:f>
      </x:c>
      <x:c r="U157" s="11" t="n">
        <x:v>0</x:v>
      </x:c>
      <x:c r="V157" s="11" t="n">
        <x:v>0</x:v>
      </x:c>
      <x:c r="W157" s="11" t="n">
        <x:v>0</x:v>
      </x:c>
      <x:c r="X157" s="11" t="n">
        <x:v>0</x:v>
      </x:c>
      <x:c r="Y157" s="11">
        <x:f>ROUND(U157+V157+W157+X157-N157,2)</x:f>
      </x:c>
      <x:c r="Z157">
        <x:f>IF(AND(ABS(ROUND(N157,2))&gt;=0.5,ABS(O157)&gt;=0.05),"Yes","No")</x:f>
      </x:c>
      <x:c r="AA157" t="inlineStr">
        <x:is>
          <x:t xml:space="preserve">Closed actual</x:t>
        </x:is>
      </x:c>
      <x:c r="AB157" t="inlineStr">
        <x:is>
          <x:t xml:space="preserve"/>
        </x:is>
      </x:c>
      <x:c r="AC157" t="inlineStr">
        <x:is>
          <x:t xml:space="preserve"/>
        </x:is>
      </x:c>
      <x:c r="AD157" t="inlineStr">
        <x:is>
          <x:t xml:space="preserve">Synthetic - CIE training only</x:t>
        </x:is>
      </x:c>
    </x:row>
    <x:row r="158">
      <x:c r="A158" t="inlineStr">
        <x:is>
          <x:t xml:space="preserve">FIN-0153</x:t>
        </x:is>
      </x:c>
      <x:c r="B158" t="inlineStr">
        <x:is>
          <x:t xml:space="preserve">P09 Sep-2026</x:t>
        </x:is>
      </x:c>
      <x:c r="C158" s="10" t="n">
        <x:v>46295</x:v>
      </x:c>
      <x:c r="D158" t="inlineStr">
        <x:is>
          <x:t xml:space="preserve">Region Atlas</x:t>
        </x:is>
      </x:c>
      <x:c r="E158" t="inlineStr">
        <x:is>
          <x:t xml:space="preserve">Centralis</x:t>
        </x:is>
      </x:c>
      <x:c r="F158" t="inlineStr">
        <x:is>
          <x:t xml:space="preserve">Operations</x:t>
        </x:is>
      </x:c>
      <x:c r="G158" t="inlineStr">
        <x:is>
          <x:t xml:space="preserve">CE-OPS-210</x:t>
        </x:is>
      </x:c>
      <x:c r="H158" t="inlineStr">
        <x:is>
          <x:t xml:space="preserve">Facilities Cost</x:t>
        </x:is>
      </x:c>
      <x:c r="I158" t="inlineStr">
        <x:is>
          <x:t xml:space="preserve">Cost</x:t>
        </x:is>
      </x:c>
      <x:c r="J158" s="11" t="n">
        <x:v>0.96</x:v>
      </x:c>
      <x:c r="K158" s="11" t="n">
        <x:v>0.97</x:v>
      </x:c>
      <x:c r="L158" s="11" t="n">
        <x:v>0.93</x:v>
      </x:c>
      <x:c r="M158" s="11" t="n">
        <x:v>0.97</x:v>
      </x:c>
      <x:c r="N158" s="11">
        <x:f>J158-K158</x:f>
      </x:c>
      <x:c r="O158" s="12">
        <x:f>IF(K158=0,0,N158/K158)</x:f>
      </x:c>
      <x:c r="P158" s="11">
        <x:f>J158-L158</x:f>
      </x:c>
      <x:c r="Q158" s="12">
        <x:f>IF(L158=0,0,P158/L158)</x:f>
      </x:c>
      <x:c r="R158" s="11">
        <x:f>J158-M158</x:f>
      </x:c>
      <x:c r="S158" s="11">
        <x:f>IF(I158="Revenue",N158,-N158)</x:f>
      </x:c>
      <x:c r="T158">
        <x:f>IF(S158&gt;=0,"Favourable","Unfavourable")</x:f>
      </x:c>
      <x:c r="U158" s="11" t="n">
        <x:v>-0.02</x:v>
      </x:c>
      <x:c r="V158" s="11" t="n">
        <x:v>0.01</x:v>
      </x:c>
      <x:c r="W158" s="11" t="n">
        <x:v>0</x:v>
      </x:c>
      <x:c r="X158" s="11" t="n">
        <x:v>0</x:v>
      </x:c>
      <x:c r="Y158" s="11">
        <x:f>ROUND(U158+V158+W158+X158-N158,2)</x:f>
      </x:c>
      <x:c r="Z158">
        <x:f>IF(AND(ABS(ROUND(N158,2))&gt;=0.5,ABS(O158)&gt;=0.05),"Yes","No")</x:f>
      </x:c>
      <x:c r="AA158" t="inlineStr">
        <x:is>
          <x:t xml:space="preserve">Closed actual</x:t>
        </x:is>
      </x:c>
      <x:c r="AB158" t="inlineStr">
        <x:is>
          <x:t xml:space="preserve"/>
        </x:is>
      </x:c>
      <x:c r="AC158" t="inlineStr">
        <x:is>
          <x:t xml:space="preserve"/>
        </x:is>
      </x:c>
      <x:c r="AD158" t="inlineStr">
        <x:is>
          <x:t xml:space="preserve">Synthetic - CIE training only</x:t>
        </x:is>
      </x:c>
    </x:row>
    <x:row r="159">
      <x:c r="A159" t="inlineStr">
        <x:is>
          <x:t xml:space="preserve">FIN-0154</x:t>
        </x:is>
      </x:c>
      <x:c r="B159" t="inlineStr">
        <x:is>
          <x:t xml:space="preserve">P09 Sep-2026</x:t>
        </x:is>
      </x:c>
      <x:c r="C159" s="10" t="n">
        <x:v>46295</x:v>
      </x:c>
      <x:c r="D159" t="inlineStr">
        <x:is>
          <x:t xml:space="preserve">Region Atlas</x:t>
        </x:is>
      </x:c>
      <x:c r="E159" t="inlineStr">
        <x:is>
          <x:t xml:space="preserve">Islemark</x:t>
        </x:is>
      </x:c>
      <x:c r="F159" t="inlineStr">
        <x:is>
          <x:t xml:space="preserve">Commercial</x:t>
        </x:is>
      </x:c>
      <x:c r="G159" t="inlineStr">
        <x:is>
          <x:t xml:space="preserve">IM-COM-100</x:t>
        </x:is>
      </x:c>
      <x:c r="H159" t="inlineStr">
        <x:is>
          <x:t xml:space="preserve">Net Revenue</x:t>
        </x:is>
      </x:c>
      <x:c r="I159" t="inlineStr">
        <x:is>
          <x:t xml:space="preserve">Revenue</x:t>
        </x:is>
      </x:c>
      <x:c r="J159" s="11" t="n">
        <x:v>34.55</x:v>
      </x:c>
      <x:c r="K159" s="11" t="n">
        <x:v>34.86</x:v>
      </x:c>
      <x:c r="L159" s="11" t="n">
        <x:v>33.09</x:v>
      </x:c>
      <x:c r="M159" s="11" t="n">
        <x:v>34.86</x:v>
      </x:c>
      <x:c r="N159" s="11">
        <x:f>J159-K159</x:f>
      </x:c>
      <x:c r="O159" s="12">
        <x:f>IF(K159=0,0,N159/K159)</x:f>
      </x:c>
      <x:c r="P159" s="11">
        <x:f>J159-L159</x:f>
      </x:c>
      <x:c r="Q159" s="12">
        <x:f>IF(L159=0,0,P159/L159)</x:f>
      </x:c>
      <x:c r="R159" s="11">
        <x:f>J159-M159</x:f>
      </x:c>
      <x:c r="S159" s="11">
        <x:f>IF(I159="Revenue",N159,-N159)</x:f>
      </x:c>
      <x:c r="T159">
        <x:f>IF(S159&gt;=0,"Favourable","Unfavourable")</x:f>
      </x:c>
      <x:c r="U159" s="11" t="n">
        <x:v>0.12</x:v>
      </x:c>
      <x:c r="V159" s="11" t="n">
        <x:v>0.06</x:v>
      </x:c>
      <x:c r="W159" s="11" t="n">
        <x:v>-0.26</x:v>
      </x:c>
      <x:c r="X159" s="11" t="n">
        <x:v>-0.23</x:v>
      </x:c>
      <x:c r="Y159" s="11">
        <x:f>ROUND(U159+V159+W159+X159-N159,2)</x:f>
      </x:c>
      <x:c r="Z159">
        <x:f>IF(AND(ABS(ROUND(N159,2))&gt;=0.5,ABS(O159)&gt;=0.05),"Yes","No")</x:f>
      </x:c>
      <x:c r="AA159" t="inlineStr">
        <x:is>
          <x:t xml:space="preserve">Provisional estimate - not closed</x:t>
        </x:is>
      </x:c>
      <x:c r="AB159" t="inlineStr">
        <x:is>
          <x:t xml:space="preserve">Local close not complete - figures provisional</x:t>
        </x:is>
      </x:c>
      <x:c r="AC159" t="inlineStr">
        <x:is>
          <x:t xml:space="preserve"/>
        </x:is>
      </x:c>
      <x:c r="AD159" t="inlineStr">
        <x:is>
          <x:t xml:space="preserve">Synthetic - CIE training only</x:t>
        </x:is>
      </x:c>
    </x:row>
    <x:row r="160">
      <x:c r="A160" t="inlineStr">
        <x:is>
          <x:t xml:space="preserve">FIN-0155</x:t>
        </x:is>
      </x:c>
      <x:c r="B160" t="inlineStr">
        <x:is>
          <x:t xml:space="preserve">P09 Sep-2026</x:t>
        </x:is>
      </x:c>
      <x:c r="C160" s="10" t="n">
        <x:v>46295</x:v>
      </x:c>
      <x:c r="D160" t="inlineStr">
        <x:is>
          <x:t xml:space="preserve">Region Atlas</x:t>
        </x:is>
      </x:c>
      <x:c r="E160" t="inlineStr">
        <x:is>
          <x:t xml:space="preserve">Islemark</x:t>
        </x:is>
      </x:c>
      <x:c r="F160" t="inlineStr">
        <x:is>
          <x:t xml:space="preserve">Finance</x:t>
        </x:is>
      </x:c>
      <x:c r="G160" t="inlineStr">
        <x:is>
          <x:t xml:space="preserve">IM-FIN-900</x:t>
        </x:is>
      </x:c>
      <x:c r="H160" t="inlineStr">
        <x:is>
          <x:t xml:space="preserve">Other Operating Income</x:t>
        </x:is>
      </x:c>
      <x:c r="I160" t="inlineStr">
        <x:is>
          <x:t xml:space="preserve">Revenue</x:t>
        </x:is>
      </x:c>
      <x:c r="J160" s="11" t="n">
        <x:v>0.92</x:v>
      </x:c>
      <x:c r="K160" s="11" t="n">
        <x:v>0.91</x:v>
      </x:c>
      <x:c r="L160" s="11" t="n">
        <x:v>0.85</x:v>
      </x:c>
      <x:c r="M160" s="11" t="n">
        <x:v>0.9</x:v>
      </x:c>
      <x:c r="N160" s="11">
        <x:f>J160-K160</x:f>
      </x:c>
      <x:c r="O160" s="12">
        <x:f>IF(K160=0,0,N160/K160)</x:f>
      </x:c>
      <x:c r="P160" s="11">
        <x:f>J160-L160</x:f>
      </x:c>
      <x:c r="Q160" s="12">
        <x:f>IF(L160=0,0,P160/L160)</x:f>
      </x:c>
      <x:c r="R160" s="11">
        <x:f>J160-M160</x:f>
      </x:c>
      <x:c r="S160" s="11">
        <x:f>IF(I160="Revenue",N160,-N160)</x:f>
      </x:c>
      <x:c r="T160">
        <x:f>IF(S160&gt;=0,"Favourable","Unfavourable")</x:f>
      </x:c>
      <x:c r="U160" s="11" t="n">
        <x:v>-0.01</x:v>
      </x:c>
      <x:c r="V160" s="11" t="n">
        <x:v>0.02</x:v>
      </x:c>
      <x:c r="W160" s="11" t="n">
        <x:v>0</x:v>
      </x:c>
      <x:c r="X160" s="11" t="n">
        <x:v>0</x:v>
      </x:c>
      <x:c r="Y160" s="11">
        <x:f>ROUND(U160+V160+W160+X160-N160,2)</x:f>
      </x:c>
      <x:c r="Z160">
        <x:f>IF(AND(ABS(ROUND(N160,2))&gt;=0.5,ABS(O160)&gt;=0.05),"Yes","No")</x:f>
      </x:c>
      <x:c r="AA160" t="inlineStr">
        <x:is>
          <x:t xml:space="preserve">Provisional estimate - not closed</x:t>
        </x:is>
      </x:c>
      <x:c r="AB160" t="inlineStr">
        <x:is>
          <x:t xml:space="preserve">Local close not complete - figures provisional</x:t>
        </x:is>
      </x:c>
      <x:c r="AC160" t="inlineStr">
        <x:is>
          <x:t xml:space="preserve"/>
        </x:is>
      </x:c>
      <x:c r="AD160" t="inlineStr">
        <x:is>
          <x:t xml:space="preserve">Synthetic - CIE training only</x:t>
        </x:is>
      </x:c>
    </x:row>
    <x:row r="161">
      <x:c r="A161" t="inlineStr">
        <x:is>
          <x:t xml:space="preserve">FIN-0156</x:t>
        </x:is>
      </x:c>
      <x:c r="B161" t="inlineStr">
        <x:is>
          <x:t xml:space="preserve">P09 Sep-2026</x:t>
        </x:is>
      </x:c>
      <x:c r="C161" s="10" t="n">
        <x:v>46295</x:v>
      </x:c>
      <x:c r="D161" t="inlineStr">
        <x:is>
          <x:t xml:space="preserve">Region Atlas</x:t>
        </x:is>
      </x:c>
      <x:c r="E161" t="inlineStr">
        <x:is>
          <x:t xml:space="preserve">Islemark</x:t>
        </x:is>
      </x:c>
      <x:c r="F161" t="inlineStr">
        <x:is>
          <x:t xml:space="preserve">Operations</x:t>
        </x:is>
      </x:c>
      <x:c r="G161" t="inlineStr">
        <x:is>
          <x:t xml:space="preserve">IM-OPS-200</x:t>
        </x:is>
      </x:c>
      <x:c r="H161" t="inlineStr">
        <x:is>
          <x:t xml:space="preserve">Cost of Goods Sold</x:t>
        </x:is>
      </x:c>
      <x:c r="I161" t="inlineStr">
        <x:is>
          <x:t xml:space="preserve">Cost</x:t>
        </x:is>
      </x:c>
      <x:c r="J161" s="11" t="n">
        <x:v>13.79</x:v>
      </x:c>
      <x:c r="K161" s="11" t="n">
        <x:v>13.51</x:v>
      </x:c>
      <x:c r="L161" s="11" t="n">
        <x:v>12.65</x:v>
      </x:c>
      <x:c r="M161" s="11" t="n">
        <x:v>13.61</x:v>
      </x:c>
      <x:c r="N161" s="11">
        <x:f>J161-K161</x:f>
      </x:c>
      <x:c r="O161" s="12">
        <x:f>IF(K161=0,0,N161/K161)</x:f>
      </x:c>
      <x:c r="P161" s="11">
        <x:f>J161-L161</x:f>
      </x:c>
      <x:c r="Q161" s="12">
        <x:f>IF(L161=0,0,P161/L161)</x:f>
      </x:c>
      <x:c r="R161" s="11">
        <x:f>J161-M161</x:f>
      </x:c>
      <x:c r="S161" s="11">
        <x:f>IF(I161="Revenue",N161,-N161)</x:f>
      </x:c>
      <x:c r="T161">
        <x:f>IF(S161&gt;=0,"Favourable","Unfavourable")</x:f>
      </x:c>
      <x:c r="U161" s="11" t="n">
        <x:v>0.13</x:v>
      </x:c>
      <x:c r="V161" s="11" t="n">
        <x:v>0.11</x:v>
      </x:c>
      <x:c r="W161" s="11" t="n">
        <x:v>0.05</x:v>
      </x:c>
      <x:c r="X161" s="11" t="n">
        <x:v>-0.01</x:v>
      </x:c>
      <x:c r="Y161" s="11">
        <x:f>ROUND(U161+V161+W161+X161-N161,2)</x:f>
      </x:c>
      <x:c r="Z161">
        <x:f>IF(AND(ABS(ROUND(N161,2))&gt;=0.5,ABS(O161)&gt;=0.05),"Yes","No")</x:f>
      </x:c>
      <x:c r="AA161" t="inlineStr">
        <x:is>
          <x:t xml:space="preserve">Provisional estimate - not closed</x:t>
        </x:is>
      </x:c>
      <x:c r="AB161" t="inlineStr">
        <x:is>
          <x:t xml:space="preserve">Local close not complete - figures provisional</x:t>
        </x:is>
      </x:c>
      <x:c r="AC161" t="inlineStr">
        <x:is>
          <x:t xml:space="preserve"/>
        </x:is>
      </x:c>
      <x:c r="AD161" t="inlineStr">
        <x:is>
          <x:t xml:space="preserve">Synthetic - CIE training only</x:t>
        </x:is>
      </x:c>
    </x:row>
    <x:row r="162">
      <x:c r="A162" t="inlineStr">
        <x:is>
          <x:t xml:space="preserve">FIN-0157</x:t>
        </x:is>
      </x:c>
      <x:c r="B162" t="inlineStr">
        <x:is>
          <x:t xml:space="preserve">P09 Sep-2026</x:t>
        </x:is>
      </x:c>
      <x:c r="C162" s="10" t="n">
        <x:v>46295</x:v>
      </x:c>
      <x:c r="D162" t="inlineStr">
        <x:is>
          <x:t xml:space="preserve">Region Atlas</x:t>
        </x:is>
      </x:c>
      <x:c r="E162" t="inlineStr">
        <x:is>
          <x:t xml:space="preserve">Islemark</x:t>
        </x:is>
      </x:c>
      <x:c r="F162" t="inlineStr">
        <x:is>
          <x:t xml:space="preserve">Supply Chain</x:t>
        </x:is>
      </x:c>
      <x:c r="G162" t="inlineStr">
        <x:is>
          <x:t xml:space="preserve">IM-SCM-300</x:t>
        </x:is>
      </x:c>
      <x:c r="H162" t="inlineStr">
        <x:is>
          <x:t xml:space="preserve">Logistics &amp; Distribution</x:t>
        </x:is>
      </x:c>
      <x:c r="I162" t="inlineStr">
        <x:is>
          <x:t xml:space="preserve">Cost</x:t>
        </x:is>
      </x:c>
      <x:c r="J162" s="11" t="n">
        <x:v>2.64</x:v>
      </x:c>
      <x:c r="K162" s="11" t="n">
        <x:v>2.62</x:v>
      </x:c>
      <x:c r="L162" s="11" t="n">
        <x:v>2.5</x:v>
      </x:c>
      <x:c r="M162" s="11" t="n">
        <x:v>2.67</x:v>
      </x:c>
      <x:c r="N162" s="11">
        <x:f>J162-K162</x:f>
      </x:c>
      <x:c r="O162" s="12">
        <x:f>IF(K162=0,0,N162/K162)</x:f>
      </x:c>
      <x:c r="P162" s="11">
        <x:f>J162-L162</x:f>
      </x:c>
      <x:c r="Q162" s="12">
        <x:f>IF(L162=0,0,P162/L162)</x:f>
      </x:c>
      <x:c r="R162" s="11">
        <x:f>J162-M162</x:f>
      </x:c>
      <x:c r="S162" s="11">
        <x:f>IF(I162="Revenue",N162,-N162)</x:f>
      </x:c>
      <x:c r="T162">
        <x:f>IF(S162&gt;=0,"Favourable","Unfavourable")</x:f>
      </x:c>
      <x:c r="U162" s="11" t="n">
        <x:v>-0.02</x:v>
      </x:c>
      <x:c r="V162" s="11" t="n">
        <x:v>0.04</x:v>
      </x:c>
      <x:c r="W162" s="11" t="n">
        <x:v>-0.01</x:v>
      </x:c>
      <x:c r="X162" s="11" t="n">
        <x:v>0.01</x:v>
      </x:c>
      <x:c r="Y162" s="11">
        <x:f>ROUND(U162+V162+W162+X162-N162,2)</x:f>
      </x:c>
      <x:c r="Z162">
        <x:f>IF(AND(ABS(ROUND(N162,2))&gt;=0.5,ABS(O162)&gt;=0.05),"Yes","No")</x:f>
      </x:c>
      <x:c r="AA162" t="inlineStr">
        <x:is>
          <x:t xml:space="preserve">Provisional estimate - not closed</x:t>
        </x:is>
      </x:c>
      <x:c r="AB162" t="inlineStr">
        <x:is>
          <x:t xml:space="preserve">Local close not complete - figures provisional</x:t>
        </x:is>
      </x:c>
      <x:c r="AC162" t="inlineStr">
        <x:is>
          <x:t xml:space="preserve"/>
        </x:is>
      </x:c>
      <x:c r="AD162" t="inlineStr">
        <x:is>
          <x:t xml:space="preserve">Synthetic - CIE training only</x:t>
        </x:is>
      </x:c>
    </x:row>
    <x:row r="163">
      <x:c r="A163" t="inlineStr">
        <x:is>
          <x:t xml:space="preserve">FIN-0158</x:t>
        </x:is>
      </x:c>
      <x:c r="B163" t="inlineStr">
        <x:is>
          <x:t xml:space="preserve">P09 Sep-2026</x:t>
        </x:is>
      </x:c>
      <x:c r="C163" s="10" t="n">
        <x:v>46295</x:v>
      </x:c>
      <x:c r="D163" t="inlineStr">
        <x:is>
          <x:t xml:space="preserve">Region Atlas</x:t>
        </x:is>
      </x:c>
      <x:c r="E163" t="inlineStr">
        <x:is>
          <x:t xml:space="preserve">Islemark</x:t>
        </x:is>
      </x:c>
      <x:c r="F163" t="inlineStr">
        <x:is>
          <x:t xml:space="preserve">Marketing</x:t>
        </x:is>
      </x:c>
      <x:c r="G163" t="inlineStr">
        <x:is>
          <x:t xml:space="preserve">IM-MKT-400</x:t>
        </x:is>
      </x:c>
      <x:c r="H163" t="inlineStr">
        <x:is>
          <x:t xml:space="preserve">Trade Marketing Investment</x:t>
        </x:is>
      </x:c>
      <x:c r="I163" t="inlineStr">
        <x:is>
          <x:t xml:space="preserve">Cost</x:t>
        </x:is>
      </x:c>
      <x:c r="J163" s="11" t="n">
        <x:v>3.55</x:v>
      </x:c>
      <x:c r="K163" s="11" t="n">
        <x:v>3.46</x:v>
      </x:c>
      <x:c r="L163" s="11" t="n">
        <x:v>3.27</x:v>
      </x:c>
      <x:c r="M163" s="11" t="n">
        <x:v>3.59</x:v>
      </x:c>
      <x:c r="N163" s="11">
        <x:f>J163-K163</x:f>
      </x:c>
      <x:c r="O163" s="12">
        <x:f>IF(K163=0,0,N163/K163)</x:f>
      </x:c>
      <x:c r="P163" s="11">
        <x:f>J163-L163</x:f>
      </x:c>
      <x:c r="Q163" s="12">
        <x:f>IF(L163=0,0,P163/L163)</x:f>
      </x:c>
      <x:c r="R163" s="11">
        <x:f>J163-M163</x:f>
      </x:c>
      <x:c r="S163" s="11">
        <x:f>IF(I163="Revenue",N163,-N163)</x:f>
      </x:c>
      <x:c r="T163">
        <x:f>IF(S163&gt;=0,"Favourable","Unfavourable")</x:f>
      </x:c>
      <x:c r="U163" s="11" t="n">
        <x:v>0.06</x:v>
      </x:c>
      <x:c r="V163" s="11" t="n">
        <x:v>0.02</x:v>
      </x:c>
      <x:c r="W163" s="11" t="n">
        <x:v>0</x:v>
      </x:c>
      <x:c r="X163" s="11" t="n">
        <x:v>0.01</x:v>
      </x:c>
      <x:c r="Y163" s="11">
        <x:f>ROUND(U163+V163+W163+X163-N163,2)</x:f>
      </x:c>
      <x:c r="Z163">
        <x:f>IF(AND(ABS(ROUND(N163,2))&gt;=0.5,ABS(O163)&gt;=0.05),"Yes","No")</x:f>
      </x:c>
      <x:c r="AA163" t="inlineStr">
        <x:is>
          <x:t xml:space="preserve">Provisional estimate - not closed</x:t>
        </x:is>
      </x:c>
      <x:c r="AB163" t="inlineStr">
        <x:is>
          <x:t xml:space="preserve">Local close not complete - figures provisional</x:t>
        </x:is>
      </x:c>
      <x:c r="AC163" t="inlineStr">
        <x:is>
          <x:t xml:space="preserve"/>
        </x:is>
      </x:c>
      <x:c r="AD163" t="inlineStr">
        <x:is>
          <x:t xml:space="preserve">Synthetic - CIE training only</x:t>
        </x:is>
      </x:c>
    </x:row>
    <x:row r="164">
      <x:c r="A164" t="inlineStr">
        <x:is>
          <x:t xml:space="preserve">FIN-0159</x:t>
        </x:is>
      </x:c>
      <x:c r="B164" t="inlineStr">
        <x:is>
          <x:t xml:space="preserve">P09 Sep-2026</x:t>
        </x:is>
      </x:c>
      <x:c r="C164" s="10" t="n">
        <x:v>46295</x:v>
      </x:c>
      <x:c r="D164" t="inlineStr">
        <x:is>
          <x:t xml:space="preserve">Region Atlas</x:t>
        </x:is>
      </x:c>
      <x:c r="E164" t="inlineStr">
        <x:is>
          <x:t xml:space="preserve">Islemark</x:t>
        </x:is>
      </x:c>
      <x:c r="F164" t="inlineStr">
        <x:is>
          <x:t xml:space="preserve">Commercial</x:t>
        </x:is>
      </x:c>
      <x:c r="G164" t="inlineStr">
        <x:is>
          <x:t xml:space="preserve">IM-COM-110</x:t>
        </x:is>
      </x:c>
      <x:c r="H164" t="inlineStr">
        <x:is>
          <x:t xml:space="preserve">Sales Force Cost</x:t>
        </x:is>
      </x:c>
      <x:c r="I164" t="inlineStr">
        <x:is>
          <x:t xml:space="preserve">Cost</x:t>
        </x:is>
      </x:c>
      <x:c r="J164" s="11" t="n">
        <x:v>2.02</x:v>
      </x:c>
      <x:c r="K164" s="11" t="n">
        <x:v>2.06</x:v>
      </x:c>
      <x:c r="L164" s="11" t="n">
        <x:v>2.01</x:v>
      </x:c>
      <x:c r="M164" s="11" t="n">
        <x:v>2.02</x:v>
      </x:c>
      <x:c r="N164" s="11">
        <x:f>J164-K164</x:f>
      </x:c>
      <x:c r="O164" s="12">
        <x:f>IF(K164=0,0,N164/K164)</x:f>
      </x:c>
      <x:c r="P164" s="11">
        <x:f>J164-L164</x:f>
      </x:c>
      <x:c r="Q164" s="12">
        <x:f>IF(L164=0,0,P164/L164)</x:f>
      </x:c>
      <x:c r="R164" s="11">
        <x:f>J164-M164</x:f>
      </x:c>
      <x:c r="S164" s="11">
        <x:f>IF(I164="Revenue",N164,-N164)</x:f>
      </x:c>
      <x:c r="T164">
        <x:f>IF(S164&gt;=0,"Favourable","Unfavourable")</x:f>
      </x:c>
      <x:c r="U164" s="11" t="n">
        <x:v>0</x:v>
      </x:c>
      <x:c r="V164" s="11" t="n">
        <x:v>-0.03</x:v>
      </x:c>
      <x:c r="W164" s="11" t="n">
        <x:v>-0.01</x:v>
      </x:c>
      <x:c r="X164" s="11" t="n">
        <x:v>0</x:v>
      </x:c>
      <x:c r="Y164" s="11">
        <x:f>ROUND(U164+V164+W164+X164-N164,2)</x:f>
      </x:c>
      <x:c r="Z164">
        <x:f>IF(AND(ABS(ROUND(N164,2))&gt;=0.5,ABS(O164)&gt;=0.05),"Yes","No")</x:f>
      </x:c>
      <x:c r="AA164" t="inlineStr">
        <x:is>
          <x:t xml:space="preserve">Provisional estimate - not closed</x:t>
        </x:is>
      </x:c>
      <x:c r="AB164" t="inlineStr">
        <x:is>
          <x:t xml:space="preserve">Local close not complete - figures provisional</x:t>
        </x:is>
      </x:c>
      <x:c r="AC164" t="inlineStr">
        <x:is>
          <x:t xml:space="preserve"/>
        </x:is>
      </x:c>
      <x:c r="AD164" t="inlineStr">
        <x:is>
          <x:t xml:space="preserve">Synthetic - CIE training only</x:t>
        </x:is>
      </x:c>
    </x:row>
    <x:row r="165">
      <x:c r="A165" t="inlineStr">
        <x:is>
          <x:t xml:space="preserve">FIN-0160</x:t>
        </x:is>
      </x:c>
      <x:c r="B165" t="inlineStr">
        <x:is>
          <x:t xml:space="preserve">P09 Sep-2026</x:t>
        </x:is>
      </x:c>
      <x:c r="C165" s="10" t="n">
        <x:v>46295</x:v>
      </x:c>
      <x:c r="D165" t="inlineStr">
        <x:is>
          <x:t xml:space="preserve">Region Atlas</x:t>
        </x:is>
      </x:c>
      <x:c r="E165" t="inlineStr">
        <x:is>
          <x:t xml:space="preserve">Islemark</x:t>
        </x:is>
      </x:c>
      <x:c r="F165" t="inlineStr">
        <x:is>
          <x:t xml:space="preserve">Digital &amp; IT</x:t>
        </x:is>
      </x:c>
      <x:c r="G165" t="inlineStr">
        <x:is>
          <x:t xml:space="preserve">IM-DIT-500</x:t>
        </x:is>
      </x:c>
      <x:c r="H165" t="inlineStr">
        <x:is>
          <x:t xml:space="preserve">Digital &amp; IT Cost</x:t>
        </x:is>
      </x:c>
      <x:c r="I165" t="inlineStr">
        <x:is>
          <x:t xml:space="preserve">Cost</x:t>
        </x:is>
      </x:c>
      <x:c r="J165" s="11" t="n">
        <x:v>1.51</x:v>
      </x:c>
      <x:c r="K165" s="11" t="n">
        <x:v>1.49</x:v>
      </x:c>
      <x:c r="L165" s="11" t="n">
        <x:v>1.4</x:v>
      </x:c>
      <x:c r="M165" s="11" t="n">
        <x:v>1.5</x:v>
      </x:c>
      <x:c r="N165" s="11">
        <x:f>J165-K165</x:f>
      </x:c>
      <x:c r="O165" s="12">
        <x:f>IF(K165=0,0,N165/K165)</x:f>
      </x:c>
      <x:c r="P165" s="11">
        <x:f>J165-L165</x:f>
      </x:c>
      <x:c r="Q165" s="12">
        <x:f>IF(L165=0,0,P165/L165)</x:f>
      </x:c>
      <x:c r="R165" s="11">
        <x:f>J165-M165</x:f>
      </x:c>
      <x:c r="S165" s="11">
        <x:f>IF(I165="Revenue",N165,-N165)</x:f>
      </x:c>
      <x:c r="T165">
        <x:f>IF(S165&gt;=0,"Favourable","Unfavourable")</x:f>
      </x:c>
      <x:c r="U165" s="11" t="n">
        <x:v>0.02</x:v>
      </x:c>
      <x:c r="V165" s="11" t="n">
        <x:v>0.02</x:v>
      </x:c>
      <x:c r="W165" s="11" t="n">
        <x:v>-0.02</x:v>
      </x:c>
      <x:c r="X165" s="11" t="n">
        <x:v>0</x:v>
      </x:c>
      <x:c r="Y165" s="11">
        <x:f>ROUND(U165+V165+W165+X165-N165,2)</x:f>
      </x:c>
      <x:c r="Z165">
        <x:f>IF(AND(ABS(ROUND(N165,2))&gt;=0.5,ABS(O165)&gt;=0.05),"Yes","No")</x:f>
      </x:c>
      <x:c r="AA165" t="inlineStr">
        <x:is>
          <x:t xml:space="preserve">Provisional estimate - not closed</x:t>
        </x:is>
      </x:c>
      <x:c r="AB165" t="inlineStr">
        <x:is>
          <x:t xml:space="preserve">Local close not complete - figures provisional</x:t>
        </x:is>
      </x:c>
      <x:c r="AC165" t="inlineStr">
        <x:is>
          <x:t xml:space="preserve"/>
        </x:is>
      </x:c>
      <x:c r="AD165" t="inlineStr">
        <x:is>
          <x:t xml:space="preserve">Synthetic - CIE training only</x:t>
        </x:is>
      </x:c>
    </x:row>
    <x:row r="166">
      <x:c r="A166" t="inlineStr">
        <x:is>
          <x:t xml:space="preserve">FIN-0161</x:t>
        </x:is>
      </x:c>
      <x:c r="B166" t="inlineStr">
        <x:is>
          <x:t xml:space="preserve">P09 Sep-2026</x:t>
        </x:is>
      </x:c>
      <x:c r="C166" s="10" t="n">
        <x:v>46295</x:v>
      </x:c>
      <x:c r="D166" t="inlineStr">
        <x:is>
          <x:t xml:space="preserve">Region Atlas</x:t>
        </x:is>
      </x:c>
      <x:c r="E166" t="inlineStr">
        <x:is>
          <x:t xml:space="preserve">Islemark</x:t>
        </x:is>
      </x:c>
      <x:c r="F166" t="inlineStr">
        <x:is>
          <x:t xml:space="preserve">Finance</x:t>
        </x:is>
      </x:c>
      <x:c r="G166" t="inlineStr">
        <x:is>
          <x:t xml:space="preserve">IM-FIN-600</x:t>
        </x:is>
      </x:c>
      <x:c r="H166" t="inlineStr">
        <x:is>
          <x:t xml:space="preserve">General &amp; Admin Cost</x:t>
        </x:is>
      </x:c>
      <x:c r="I166" t="inlineStr">
        <x:is>
          <x:t xml:space="preserve">Cost</x:t>
        </x:is>
      </x:c>
      <x:c r="J166" s="11" t="n">
        <x:v>1.19</x:v>
      </x:c>
      <x:c r="K166" s="11" t="n">
        <x:v>1.2</x:v>
      </x:c>
      <x:c r="L166" s="11" t="n">
        <x:v>1.12</x:v>
      </x:c>
      <x:c r="M166" s="11" t="n">
        <x:v>1.19</x:v>
      </x:c>
      <x:c r="N166" s="11">
        <x:f>J166-K166</x:f>
      </x:c>
      <x:c r="O166" s="12">
        <x:f>IF(K166=0,0,N166/K166)</x:f>
      </x:c>
      <x:c r="P166" s="11">
        <x:f>J166-L166</x:f>
      </x:c>
      <x:c r="Q166" s="12">
        <x:f>IF(L166=0,0,P166/L166)</x:f>
      </x:c>
      <x:c r="R166" s="11">
        <x:f>J166-M166</x:f>
      </x:c>
      <x:c r="S166" s="11">
        <x:f>IF(I166="Revenue",N166,-N166)</x:f>
      </x:c>
      <x:c r="T166">
        <x:f>IF(S166&gt;=0,"Favourable","Unfavourable")</x:f>
      </x:c>
      <x:c r="U166" s="11" t="n">
        <x:v>-0.01</x:v>
      </x:c>
      <x:c r="V166" s="11" t="n">
        <x:v>0.02</x:v>
      </x:c>
      <x:c r="W166" s="11" t="n">
        <x:v>-0.01</x:v>
      </x:c>
      <x:c r="X166" s="11" t="n">
        <x:v>-0.01</x:v>
      </x:c>
      <x:c r="Y166" s="11">
        <x:f>ROUND(U166+V166+W166+X166-N166,2)</x:f>
      </x:c>
      <x:c r="Z166">
        <x:f>IF(AND(ABS(ROUND(N166,2))&gt;=0.5,ABS(O166)&gt;=0.05),"Yes","No")</x:f>
      </x:c>
      <x:c r="AA166" t="inlineStr">
        <x:is>
          <x:t xml:space="preserve">Provisional estimate - not closed</x:t>
        </x:is>
      </x:c>
      <x:c r="AB166" t="inlineStr">
        <x:is>
          <x:t xml:space="preserve">Local close not complete - figures provisional</x:t>
        </x:is>
      </x:c>
      <x:c r="AC166" t="inlineStr">
        <x:is>
          <x:t xml:space="preserve"/>
        </x:is>
      </x:c>
      <x:c r="AD166" t="inlineStr">
        <x:is>
          <x:t xml:space="preserve">Synthetic - CIE training only</x:t>
        </x:is>
      </x:c>
    </x:row>
    <x:row r="167">
      <x:c r="A167" t="inlineStr">
        <x:is>
          <x:t xml:space="preserve">FIN-0162</x:t>
        </x:is>
      </x:c>
      <x:c r="B167" t="inlineStr">
        <x:is>
          <x:t xml:space="preserve">P09 Sep-2026</x:t>
        </x:is>
      </x:c>
      <x:c r="C167" s="10" t="n">
        <x:v>46295</x:v>
      </x:c>
      <x:c r="D167" t="inlineStr">
        <x:is>
          <x:t xml:space="preserve">Region Atlas</x:t>
        </x:is>
      </x:c>
      <x:c r="E167" t="inlineStr">
        <x:is>
          <x:t xml:space="preserve">Islemark</x:t>
        </x:is>
      </x:c>
      <x:c r="F167" t="inlineStr">
        <x:is>
          <x:t xml:space="preserve">Operations</x:t>
        </x:is>
      </x:c>
      <x:c r="G167" t="inlineStr">
        <x:is>
          <x:t xml:space="preserve">IM-OPS-210</x:t>
        </x:is>
      </x:c>
      <x:c r="H167" t="inlineStr">
        <x:is>
          <x:t xml:space="preserve">Facilities Cost</x:t>
        </x:is>
      </x:c>
      <x:c r="I167" t="inlineStr">
        <x:is>
          <x:t xml:space="preserve">Cost</x:t>
        </x:is>
      </x:c>
      <x:c r="J167" s="11" t="n">
        <x:v>0.7</x:v>
      </x:c>
      <x:c r="K167" s="11" t="n">
        <x:v>0.7</x:v>
      </x:c>
      <x:c r="L167" s="11" t="n">
        <x:v>0.6899999999999999</x:v>
      </x:c>
      <x:c r="M167" s="11" t="n">
        <x:v>0.7</x:v>
      </x:c>
      <x:c r="N167" s="11">
        <x:f>J167-K167</x:f>
      </x:c>
      <x:c r="O167" s="12">
        <x:f>IF(K167=0,0,N167/K167)</x:f>
      </x:c>
      <x:c r="P167" s="11">
        <x:f>J167-L167</x:f>
      </x:c>
      <x:c r="Q167" s="12">
        <x:f>IF(L167=0,0,P167/L167)</x:f>
      </x:c>
      <x:c r="R167" s="11">
        <x:f>J167-M167</x:f>
      </x:c>
      <x:c r="S167" s="11">
        <x:f>IF(I167="Revenue",N167,-N167)</x:f>
      </x:c>
      <x:c r="T167">
        <x:f>IF(S167&gt;=0,"Favourable","Unfavourable")</x:f>
      </x:c>
      <x:c r="U167" s="11" t="n">
        <x:v>0</x:v>
      </x:c>
      <x:c r="V167" s="11" t="n">
        <x:v>0</x:v>
      </x:c>
      <x:c r="W167" s="11" t="n">
        <x:v>0</x:v>
      </x:c>
      <x:c r="X167" s="11" t="n">
        <x:v>0</x:v>
      </x:c>
      <x:c r="Y167" s="11">
        <x:f>ROUND(U167+V167+W167+X167-N167,2)</x:f>
      </x:c>
      <x:c r="Z167">
        <x:f>IF(AND(ABS(ROUND(N167,2))&gt;=0.5,ABS(O167)&gt;=0.05),"Yes","No")</x:f>
      </x:c>
      <x:c r="AA167" t="inlineStr">
        <x:is>
          <x:t xml:space="preserve">Provisional estimate - not closed</x:t>
        </x:is>
      </x:c>
      <x:c r="AB167" t="inlineStr">
        <x:is>
          <x:t xml:space="preserve">Local close not complete - figures provisional</x:t>
        </x:is>
      </x:c>
      <x:c r="AC167" t="inlineStr">
        <x:is>
          <x:t xml:space="preserve"/>
        </x:is>
      </x:c>
      <x:c r="AD167" t="inlineStr">
        <x:is>
          <x:t xml:space="preserve">Synthetic - CIE training only</x:t>
        </x:is>
      </x:c>
    </x:row>
  </x:sheetData>
  <x:conditionalFormatting sqref="T6:T167">
    <x:cfRule type="cellIs" dxfId="0" priority="1" operator="equal">
      <x:formula>"Unfavourable"</x:formula>
    </x:cfRule>
    <x:cfRule type="cellIs" dxfId="1" priority="2" operator="equal">
      <x:formula>"Favourable"</x:formula>
    </x:cfRule>
  </x:conditionalFormatting>
  <x:conditionalFormatting sqref="Z6:Z167">
    <x:cfRule type="cellIs" dxfId="2" priority="3" operator="equal">
      <x:formula>"Yes"</x:formula>
    </x:cfRule>
  </x:conditionalFormatting>
  <x:conditionalFormatting sqref="AA6:AA167">
    <x:cfRule type="expression" dxfId="3" priority="4">
      <x:formula>LEFT($AA6,11)="Provisional"</x:formula>
    </x:cfRule>
  </x:conditionalFormatting>
  <x:pageMargins left="0.7" right="0.7" top="0.75" bottom="0.75" header="0.3" footer="0.3"/>
  <x:tableParts count="1">
    <x:tablePart xmlns:r="http://schemas.openxmlformats.org/officeDocument/2006/relationships" r:id="R44c69efb183b40f7"/>
  </x:tableParts>
</x:worksheet>
</file>

<file path=xl/worksheets/sheet3.xml><?xml version="1.0" encoding="utf-8"?>
<x:worksheet xmlns:x="http://schemas.openxmlformats.org/spreadsheetml/2006/main">
  <x:sheetFormatPr baseColWidth="8" defaultRowHeight="15"/>
  <x:cols>
    <x:col min="1" max="1" width="13" customWidth="1"/>
    <x:col min="2" max="2" width="27" customWidth="1"/>
    <x:col min="3" max="3" width="13" customWidth="1"/>
    <x:col min="4" max="4" width="15" customWidth="1"/>
    <x:col min="5" max="5" width="15" customWidth="1"/>
    <x:col min="6" max="6" width="15" customWidth="1"/>
    <x:col min="7" max="7" width="17" customWidth="1"/>
    <x:col min="8" max="8" width="17" customWidth="1"/>
    <x:col min="9" max="9" width="26" customWidth="1"/>
  </x:cols>
  <x:sheetData>
    <x:row r="1">
      <x:c r="A1" s="1" t="inlineStr">
        <x:is>
          <x:t xml:space="preserve">Q4_Budget - approved FY2026 budget for P10-P12 (GBP m, synthetic)</x:t>
        </x:is>
      </x:c>
    </x:row>
    <x:row r="2">
      <x:c r="A2" s="2" t="inlineStr">
        <x:is>
          <x:t xml:space="preserve">Base input for the Q4 forecast scenario exercise. Run-rate column is a live formula from Monthly_Performance.</x:t>
        </x:is>
      </x:c>
    </x:row>
    <x:row r="3">
      <x:c r="A3" s="3" t="inlineStr">
        <x:is>
          <x:t xml:space="preserve">SYNTHETIC CIE TRAINING MATERIAL - Not official BAT information, policy, employee data, process, or findings.</x:t>
        </x:is>
      </x:c>
      <x:c r="B3" s="4" t="n"/>
      <x:c r="C3" s="4" t="n"/>
      <x:c r="D3" s="4" t="n"/>
      <x:c r="E3" s="4" t="n"/>
      <x:c r="F3" s="4" t="n"/>
      <x:c r="G3" s="4" t="n"/>
      <x:c r="H3" s="4" t="n"/>
      <x:c r="I3" s="4" t="n"/>
    </x:row>
    <x:row r="5">
      <x:c r="A5" s="8" t="inlineStr">
        <x:is>
          <x:t xml:space="preserve">Market</x:t>
        </x:is>
      </x:c>
      <x:c r="B5" s="8" t="inlineStr">
        <x:is>
          <x:t xml:space="preserve">Account</x:t>
        </x:is>
      </x:c>
      <x:c r="C5" s="8" t="inlineStr">
        <x:is>
          <x:t xml:space="preserve">Account_Type</x:t>
        </x:is>
      </x:c>
      <x:c r="D5" s="8" t="inlineStr">
        <x:is>
          <x:t xml:space="preserve">P10_Budget_GBPm</x:t>
        </x:is>
      </x:c>
      <x:c r="E5" s="8" t="inlineStr">
        <x:is>
          <x:t xml:space="preserve">P11_Budget_GBPm</x:t>
        </x:is>
      </x:c>
      <x:c r="F5" s="8" t="inlineStr">
        <x:is>
          <x:t xml:space="preserve">P12_Budget_GBPm</x:t>
        </x:is>
      </x:c>
      <x:c r="G5" s="8" t="inlineStr">
        <x:is>
          <x:t xml:space="preserve">Q4_Budget_Total_GBPm</x:t>
        </x:is>
      </x:c>
      <x:c r="H5" s="8" t="inlineStr">
        <x:is>
          <x:t xml:space="preserve">Q3_Run_Rate_Var_Pct</x:t>
        </x:is>
      </x:c>
      <x:c r="I5" s="8" t="inlineStr">
        <x:is>
          <x:t xml:space="preserve">Data_Classification</x:t>
        </x:is>
      </x:c>
    </x:row>
    <x:row r="6">
      <x:c r="A6" s="13" t="inlineStr">
        <x:is>
          <x:t xml:space="preserve">Northmere</x:t>
        </x:is>
      </x:c>
      <x:c r="B6" s="13" t="inlineStr">
        <x:is>
          <x:t xml:space="preserve">Net Revenue</x:t>
        </x:is>
      </x:c>
      <x:c r="C6" s="13" t="inlineStr">
        <x:is>
          <x:t xml:space="preserve">Revenue</x:t>
        </x:is>
      </x:c>
      <x:c r="D6" s="13" t="n">
        <x:v>76.81</x:v>
      </x:c>
      <x:c r="E6" s="13" t="n">
        <x:v>77.01000000000001</x:v>
      </x:c>
      <x:c r="F6" s="13" t="n">
        <x:v>81.25</x:v>
      </x:c>
      <x:c r="G6" s="13">
        <x:f>SUM(D6:F6)</x:f>
      </x:c>
      <x:c r="H6" s="12">
        <x:f>IFERROR(SUMIFS(Monthly_Performance!$N:$N,Monthly_Performance!$E:$E,A6,Monthly_Performance!$H:$H,B6)/SUMIFS(Monthly_Performance!$K:$K,Monthly_Performance!$E:$E,A6,Monthly_Performance!$H:$H,B6),0)</x:f>
      </x:c>
      <x:c r="I6" s="13" t="inlineStr">
        <x:is>
          <x:t xml:space="preserve">Synthetic - CIE training only</x:t>
        </x:is>
      </x:c>
    </x:row>
    <x:row r="7">
      <x:c r="A7" s="13" t="inlineStr">
        <x:is>
          <x:t xml:space="preserve">Northmere</x:t>
        </x:is>
      </x:c>
      <x:c r="B7" s="13" t="inlineStr">
        <x:is>
          <x:t xml:space="preserve">Other Operating Income</x:t>
        </x:is>
      </x:c>
      <x:c r="C7" s="13" t="inlineStr">
        <x:is>
          <x:t xml:space="preserve">Revenue</x:t>
        </x:is>
      </x:c>
      <x:c r="D7" s="13" t="n">
        <x:v>1.93</x:v>
      </x:c>
      <x:c r="E7" s="13" t="n">
        <x:v>1.92</x:v>
      </x:c>
      <x:c r="F7" s="13" t="n">
        <x:v>2.08</x:v>
      </x:c>
      <x:c r="G7" s="13">
        <x:f>SUM(D7:F7)</x:f>
      </x:c>
      <x:c r="H7" s="12">
        <x:f>IFERROR(SUMIFS(Monthly_Performance!$N:$N,Monthly_Performance!$E:$E,A7,Monthly_Performance!$H:$H,B7)/SUMIFS(Monthly_Performance!$K:$K,Monthly_Performance!$E:$E,A7,Monthly_Performance!$H:$H,B7),0)</x:f>
      </x:c>
      <x:c r="I7" s="13" t="inlineStr">
        <x:is>
          <x:t xml:space="preserve">Synthetic - CIE training only</x:t>
        </x:is>
      </x:c>
    </x:row>
    <x:row r="8">
      <x:c r="A8" s="13" t="inlineStr">
        <x:is>
          <x:t xml:space="preserve">Northmere</x:t>
        </x:is>
      </x:c>
      <x:c r="B8" s="13" t="inlineStr">
        <x:is>
          <x:t xml:space="preserve">Cost of Goods Sold</x:t>
        </x:is>
      </x:c>
      <x:c r="C8" s="13" t="inlineStr">
        <x:is>
          <x:t xml:space="preserve">Cost</x:t>
        </x:is>
      </x:c>
      <x:c r="D8" s="13" t="n">
        <x:v>28.89</x:v>
      </x:c>
      <x:c r="E8" s="13" t="n">
        <x:v>28.49</x:v>
      </x:c>
      <x:c r="F8" s="13" t="n">
        <x:v>30.6</x:v>
      </x:c>
      <x:c r="G8" s="13">
        <x:f>SUM(D8:F8)</x:f>
      </x:c>
      <x:c r="H8" s="12">
        <x:f>IFERROR(SUMIFS(Monthly_Performance!$N:$N,Monthly_Performance!$E:$E,A8,Monthly_Performance!$H:$H,B8)/SUMIFS(Monthly_Performance!$K:$K,Monthly_Performance!$E:$E,A8,Monthly_Performance!$H:$H,B8),0)</x:f>
      </x:c>
      <x:c r="I8" s="13" t="inlineStr">
        <x:is>
          <x:t xml:space="preserve">Synthetic - CIE training only</x:t>
        </x:is>
      </x:c>
    </x:row>
    <x:row r="9">
      <x:c r="A9" s="13" t="inlineStr">
        <x:is>
          <x:t xml:space="preserve">Northmere</x:t>
        </x:is>
      </x:c>
      <x:c r="B9" s="13" t="inlineStr">
        <x:is>
          <x:t xml:space="preserve">Logistics &amp; Distribution</x:t>
        </x:is>
      </x:c>
      <x:c r="C9" s="13" t="inlineStr">
        <x:is>
          <x:t xml:space="preserve">Cost</x:t>
        </x:is>
      </x:c>
      <x:c r="D9" s="13" t="n">
        <x:v>6.05</x:v>
      </x:c>
      <x:c r="E9" s="13" t="n">
        <x:v>5.97</x:v>
      </x:c>
      <x:c r="F9" s="13" t="n">
        <x:v>6.3</x:v>
      </x:c>
      <x:c r="G9" s="13">
        <x:f>SUM(D9:F9)</x:f>
      </x:c>
      <x:c r="H9" s="12">
        <x:f>IFERROR(SUMIFS(Monthly_Performance!$N:$N,Monthly_Performance!$E:$E,A9,Monthly_Performance!$H:$H,B9)/SUMIFS(Monthly_Performance!$K:$K,Monthly_Performance!$E:$E,A9,Monthly_Performance!$H:$H,B9),0)</x:f>
      </x:c>
      <x:c r="I9" s="13" t="inlineStr">
        <x:is>
          <x:t xml:space="preserve">Synthetic - CIE training only</x:t>
        </x:is>
      </x:c>
    </x:row>
    <x:row r="10">
      <x:c r="A10" s="13" t="inlineStr">
        <x:is>
          <x:t xml:space="preserve">Northmere</x:t>
        </x:is>
      </x:c>
      <x:c r="B10" s="13" t="inlineStr">
        <x:is>
          <x:t xml:space="preserve">Trade Marketing Investment</x:t>
        </x:is>
      </x:c>
      <x:c r="C10" s="13" t="inlineStr">
        <x:is>
          <x:t xml:space="preserve">Cost</x:t>
        </x:is>
      </x:c>
      <x:c r="D10" s="13" t="n">
        <x:v>8.130000000000001</x:v>
      </x:c>
      <x:c r="E10" s="13" t="n">
        <x:v>7.8</x:v>
      </x:c>
      <x:c r="F10" s="13" t="n">
        <x:v>8.300000000000001</x:v>
      </x:c>
      <x:c r="G10" s="13">
        <x:f>SUM(D10:F10)</x:f>
      </x:c>
      <x:c r="H10" s="12">
        <x:f>IFERROR(SUMIFS(Monthly_Performance!$N:$N,Monthly_Performance!$E:$E,A10,Monthly_Performance!$H:$H,B10)/SUMIFS(Monthly_Performance!$K:$K,Monthly_Performance!$E:$E,A10,Monthly_Performance!$H:$H,B10),0)</x:f>
      </x:c>
      <x:c r="I10" s="13" t="inlineStr">
        <x:is>
          <x:t xml:space="preserve">Synthetic - CIE training only</x:t>
        </x:is>
      </x:c>
    </x:row>
    <x:row r="11">
      <x:c r="A11" s="13" t="inlineStr">
        <x:is>
          <x:t xml:space="preserve">Northmere</x:t>
        </x:is>
      </x:c>
      <x:c r="B11" s="13" t="inlineStr">
        <x:is>
          <x:t xml:space="preserve">Sales Force Cost</x:t>
        </x:is>
      </x:c>
      <x:c r="C11" s="13" t="inlineStr">
        <x:is>
          <x:t xml:space="preserve">Cost</x:t>
        </x:is>
      </x:c>
      <x:c r="D11" s="13" t="n">
        <x:v>4.34</x:v>
      </x:c>
      <x:c r="E11" s="13" t="n">
        <x:v>4.4</x:v>
      </x:c>
      <x:c r="F11" s="13" t="n">
        <x:v>4.71</x:v>
      </x:c>
      <x:c r="G11" s="13">
        <x:f>SUM(D11:F11)</x:f>
      </x:c>
      <x:c r="H11" s="12">
        <x:f>IFERROR(SUMIFS(Monthly_Performance!$N:$N,Monthly_Performance!$E:$E,A11,Monthly_Performance!$H:$H,B11)/SUMIFS(Monthly_Performance!$K:$K,Monthly_Performance!$E:$E,A11,Monthly_Performance!$H:$H,B11),0)</x:f>
      </x:c>
      <x:c r="I11" s="13" t="inlineStr">
        <x:is>
          <x:t xml:space="preserve">Synthetic - CIE training only</x:t>
        </x:is>
      </x:c>
    </x:row>
    <x:row r="12">
      <x:c r="A12" s="13" t="inlineStr">
        <x:is>
          <x:t xml:space="preserve">Northmere</x:t>
        </x:is>
      </x:c>
      <x:c r="B12" s="13" t="inlineStr">
        <x:is>
          <x:t xml:space="preserve">Digital &amp; IT Cost</x:t>
        </x:is>
      </x:c>
      <x:c r="C12" s="13" t="inlineStr">
        <x:is>
          <x:t xml:space="preserve">Cost</x:t>
        </x:is>
      </x:c>
      <x:c r="D12" s="13" t="n">
        <x:v>3.36</x:v>
      </x:c>
      <x:c r="E12" s="13" t="n">
        <x:v>3.18</x:v>
      </x:c>
      <x:c r="F12" s="13" t="n">
        <x:v>3.6</x:v>
      </x:c>
      <x:c r="G12" s="13">
        <x:f>SUM(D12:F12)</x:f>
      </x:c>
      <x:c r="H12" s="12">
        <x:f>IFERROR(SUMIFS(Monthly_Performance!$N:$N,Monthly_Performance!$E:$E,A12,Monthly_Performance!$H:$H,B12)/SUMIFS(Monthly_Performance!$K:$K,Monthly_Performance!$E:$E,A12,Monthly_Performance!$H:$H,B12),0)</x:f>
      </x:c>
      <x:c r="I12" s="13" t="inlineStr">
        <x:is>
          <x:t xml:space="preserve">Synthetic - CIE training only</x:t>
        </x:is>
      </x:c>
    </x:row>
    <x:row r="13">
      <x:c r="A13" s="13" t="inlineStr">
        <x:is>
          <x:t xml:space="preserve">Northmere</x:t>
        </x:is>
      </x:c>
      <x:c r="B13" s="13" t="inlineStr">
        <x:is>
          <x:t xml:space="preserve">General &amp; Admin Cost</x:t>
        </x:is>
      </x:c>
      <x:c r="C13" s="13" t="inlineStr">
        <x:is>
          <x:t xml:space="preserve">Cost</x:t>
        </x:is>
      </x:c>
      <x:c r="D13" s="13" t="n">
        <x:v>2.7</x:v>
      </x:c>
      <x:c r="E13" s="13" t="n">
        <x:v>2.56</x:v>
      </x:c>
      <x:c r="F13" s="13" t="n">
        <x:v>2.72</x:v>
      </x:c>
      <x:c r="G13" s="13">
        <x:f>SUM(D13:F13)</x:f>
      </x:c>
      <x:c r="H13" s="12">
        <x:f>IFERROR(SUMIFS(Monthly_Performance!$N:$N,Monthly_Performance!$E:$E,A13,Monthly_Performance!$H:$H,B13)/SUMIFS(Monthly_Performance!$K:$K,Monthly_Performance!$E:$E,A13,Monthly_Performance!$H:$H,B13),0)</x:f>
      </x:c>
      <x:c r="I13" s="13" t="inlineStr">
        <x:is>
          <x:t xml:space="preserve">Synthetic - CIE training only</x:t>
        </x:is>
      </x:c>
    </x:row>
    <x:row r="14">
      <x:c r="A14" s="13" t="inlineStr">
        <x:is>
          <x:t xml:space="preserve">Northmere</x:t>
        </x:is>
      </x:c>
      <x:c r="B14" s="13" t="inlineStr">
        <x:is>
          <x:t xml:space="preserve">Facilities Cost</x:t>
        </x:is>
      </x:c>
      <x:c r="C14" s="13" t="inlineStr">
        <x:is>
          <x:t xml:space="preserve">Cost</x:t>
        </x:is>
      </x:c>
      <x:c r="D14" s="13" t="n">
        <x:v>1.48</x:v>
      </x:c>
      <x:c r="E14" s="13" t="n">
        <x:v>1.56</x:v>
      </x:c>
      <x:c r="F14" s="13" t="n">
        <x:v>1.67</x:v>
      </x:c>
      <x:c r="G14" s="13">
        <x:f>SUM(D14:F14)</x:f>
      </x:c>
      <x:c r="H14" s="12">
        <x:f>IFERROR(SUMIFS(Monthly_Performance!$N:$N,Monthly_Performance!$E:$E,A14,Monthly_Performance!$H:$H,B14)/SUMIFS(Monthly_Performance!$K:$K,Monthly_Performance!$E:$E,A14,Monthly_Performance!$H:$H,B14),0)</x:f>
      </x:c>
      <x:c r="I14" s="13" t="inlineStr">
        <x:is>
          <x:t xml:space="preserve">Synthetic - CIE training only</x:t>
        </x:is>
      </x:c>
    </x:row>
    <x:row r="15">
      <x:c r="A15" s="13" t="inlineStr">
        <x:is>
          <x:t xml:space="preserve">Eastvale</x:t>
        </x:is>
      </x:c>
      <x:c r="B15" s="13" t="inlineStr">
        <x:is>
          <x:t xml:space="preserve">Net Revenue</x:t>
        </x:is>
      </x:c>
      <x:c r="C15" s="13" t="inlineStr">
        <x:is>
          <x:t xml:space="preserve">Revenue</x:t>
        </x:is>
      </x:c>
      <x:c r="D15" s="13" t="n">
        <x:v>61.38</x:v>
      </x:c>
      <x:c r="E15" s="13" t="n">
        <x:v>60.47</x:v>
      </x:c>
      <x:c r="F15" s="13" t="n">
        <x:v>65.34999999999999</x:v>
      </x:c>
      <x:c r="G15" s="13">
        <x:f>SUM(D15:F15)</x:f>
      </x:c>
      <x:c r="H15" s="12">
        <x:f>IFERROR(SUMIFS(Monthly_Performance!$N:$N,Monthly_Performance!$E:$E,A15,Monthly_Performance!$H:$H,B15)/SUMIFS(Monthly_Performance!$K:$K,Monthly_Performance!$E:$E,A15,Monthly_Performance!$H:$H,B15),0)</x:f>
      </x:c>
      <x:c r="I15" s="13" t="inlineStr">
        <x:is>
          <x:t xml:space="preserve">Synthetic - CIE training only</x:t>
        </x:is>
      </x:c>
    </x:row>
    <x:row r="16">
      <x:c r="A16" s="13" t="inlineStr">
        <x:is>
          <x:t xml:space="preserve">Eastvale</x:t>
        </x:is>
      </x:c>
      <x:c r="B16" s="13" t="inlineStr">
        <x:is>
          <x:t xml:space="preserve">Other Operating Income</x:t>
        </x:is>
      </x:c>
      <x:c r="C16" s="13" t="inlineStr">
        <x:is>
          <x:t xml:space="preserve">Revenue</x:t>
        </x:is>
      </x:c>
      <x:c r="D16" s="13" t="n">
        <x:v>1.55</x:v>
      </x:c>
      <x:c r="E16" s="13" t="n">
        <x:v>1.55</x:v>
      </x:c>
      <x:c r="F16" s="13" t="n">
        <x:v>1.55</x:v>
      </x:c>
      <x:c r="G16" s="13">
        <x:f>SUM(D16:F16)</x:f>
      </x:c>
      <x:c r="H16" s="12">
        <x:f>IFERROR(SUMIFS(Monthly_Performance!$N:$N,Monthly_Performance!$E:$E,A16,Monthly_Performance!$H:$H,B16)/SUMIFS(Monthly_Performance!$K:$K,Monthly_Performance!$E:$E,A16,Monthly_Performance!$H:$H,B16),0)</x:f>
      </x:c>
      <x:c r="I16" s="13" t="inlineStr">
        <x:is>
          <x:t xml:space="preserve">Synthetic - CIE training only</x:t>
        </x:is>
      </x:c>
    </x:row>
    <x:row r="17">
      <x:c r="A17" s="13" t="inlineStr">
        <x:is>
          <x:t xml:space="preserve">Eastvale</x:t>
        </x:is>
      </x:c>
      <x:c r="B17" s="13" t="inlineStr">
        <x:is>
          <x:t xml:space="preserve">Cost of Goods Sold</x:t>
        </x:is>
      </x:c>
      <x:c r="C17" s="13" t="inlineStr">
        <x:is>
          <x:t xml:space="preserve">Cost</x:t>
        </x:is>
      </x:c>
      <x:c r="D17" s="13" t="n">
        <x:v>22.08</x:v>
      </x:c>
      <x:c r="E17" s="13" t="n">
        <x:v>21.5</x:v>
      </x:c>
      <x:c r="F17" s="13" t="n">
        <x:v>23.96</x:v>
      </x:c>
      <x:c r="G17" s="13">
        <x:f>SUM(D17:F17)</x:f>
      </x:c>
      <x:c r="H17" s="12">
        <x:f>IFERROR(SUMIFS(Monthly_Performance!$N:$N,Monthly_Performance!$E:$E,A17,Monthly_Performance!$H:$H,B17)/SUMIFS(Monthly_Performance!$K:$K,Monthly_Performance!$E:$E,A17,Monthly_Performance!$H:$H,B17),0)</x:f>
      </x:c>
      <x:c r="I17" s="13" t="inlineStr">
        <x:is>
          <x:t xml:space="preserve">Synthetic - CIE training only</x:t>
        </x:is>
      </x:c>
    </x:row>
    <x:row r="18">
      <x:c r="A18" s="13" t="inlineStr">
        <x:is>
          <x:t xml:space="preserve">Eastvale</x:t>
        </x:is>
      </x:c>
      <x:c r="B18" s="13" t="inlineStr">
        <x:is>
          <x:t xml:space="preserve">Logistics &amp; Distribution</x:t>
        </x:is>
      </x:c>
      <x:c r="C18" s="13" t="inlineStr">
        <x:is>
          <x:t xml:space="preserve">Cost</x:t>
        </x:is>
      </x:c>
      <x:c r="D18" s="13" t="n">
        <x:v>4.73</x:v>
      </x:c>
      <x:c r="E18" s="13" t="n">
        <x:v>4.57</x:v>
      </x:c>
      <x:c r="F18" s="13" t="n">
        <x:v>4.94</x:v>
      </x:c>
      <x:c r="G18" s="13">
        <x:f>SUM(D18:F18)</x:f>
      </x:c>
      <x:c r="H18" s="12">
        <x:f>IFERROR(SUMIFS(Monthly_Performance!$N:$N,Monthly_Performance!$E:$E,A18,Monthly_Performance!$H:$H,B18)/SUMIFS(Monthly_Performance!$K:$K,Monthly_Performance!$E:$E,A18,Monthly_Performance!$H:$H,B18),0)</x:f>
      </x:c>
      <x:c r="I18" s="13" t="inlineStr">
        <x:is>
          <x:t xml:space="preserve">Synthetic - CIE training only</x:t>
        </x:is>
      </x:c>
    </x:row>
    <x:row r="19">
      <x:c r="A19" s="13" t="inlineStr">
        <x:is>
          <x:t xml:space="preserve">Eastvale</x:t>
        </x:is>
      </x:c>
      <x:c r="B19" s="13" t="inlineStr">
        <x:is>
          <x:t xml:space="preserve">Trade Marketing Investment</x:t>
        </x:is>
      </x:c>
      <x:c r="C19" s="13" t="inlineStr">
        <x:is>
          <x:t xml:space="preserve">Cost</x:t>
        </x:is>
      </x:c>
      <x:c r="D19" s="13" t="n">
        <x:v>5.87</x:v>
      </x:c>
      <x:c r="E19" s="13" t="n">
        <x:v>5.88</x:v>
      </x:c>
      <x:c r="F19" s="13" t="n">
        <x:v>6.17</x:v>
      </x:c>
      <x:c r="G19" s="13">
        <x:f>SUM(D19:F19)</x:f>
      </x:c>
      <x:c r="H19" s="12">
        <x:f>IFERROR(SUMIFS(Monthly_Performance!$N:$N,Monthly_Performance!$E:$E,A19,Monthly_Performance!$H:$H,B19)/SUMIFS(Monthly_Performance!$K:$K,Monthly_Performance!$E:$E,A19,Monthly_Performance!$H:$H,B19),0)</x:f>
      </x:c>
      <x:c r="I19" s="13" t="inlineStr">
        <x:is>
          <x:t xml:space="preserve">Synthetic - CIE training only</x:t>
        </x:is>
      </x:c>
    </x:row>
    <x:row r="20">
      <x:c r="A20" s="13" t="inlineStr">
        <x:is>
          <x:t xml:space="preserve">Eastvale</x:t>
        </x:is>
      </x:c>
      <x:c r="B20" s="13" t="inlineStr">
        <x:is>
          <x:t xml:space="preserve">Sales Force Cost</x:t>
        </x:is>
      </x:c>
      <x:c r="C20" s="13" t="inlineStr">
        <x:is>
          <x:t xml:space="preserve">Cost</x:t>
        </x:is>
      </x:c>
      <x:c r="D20" s="13" t="n">
        <x:v>3.45</x:v>
      </x:c>
      <x:c r="E20" s="13" t="n">
        <x:v>3.32</x:v>
      </x:c>
      <x:c r="F20" s="13" t="n">
        <x:v>3.79</x:v>
      </x:c>
      <x:c r="G20" s="13">
        <x:f>SUM(D20:F20)</x:f>
      </x:c>
      <x:c r="H20" s="12">
        <x:f>IFERROR(SUMIFS(Monthly_Performance!$N:$N,Monthly_Performance!$E:$E,A20,Monthly_Performance!$H:$H,B20)/SUMIFS(Monthly_Performance!$K:$K,Monthly_Performance!$E:$E,A20,Monthly_Performance!$H:$H,B20),0)</x:f>
      </x:c>
      <x:c r="I20" s="13" t="inlineStr">
        <x:is>
          <x:t xml:space="preserve">Synthetic - CIE training only</x:t>
        </x:is>
      </x:c>
    </x:row>
    <x:row r="21">
      <x:c r="A21" s="13" t="inlineStr">
        <x:is>
          <x:t xml:space="preserve">Eastvale</x:t>
        </x:is>
      </x:c>
      <x:c r="B21" s="13" t="inlineStr">
        <x:is>
          <x:t xml:space="preserve">Digital &amp; IT Cost</x:t>
        </x:is>
      </x:c>
      <x:c r="C21" s="13" t="inlineStr">
        <x:is>
          <x:t xml:space="preserve">Cost</x:t>
        </x:is>
      </x:c>
      <x:c r="D21" s="13" t="n">
        <x:v>2.5</x:v>
      </x:c>
      <x:c r="E21" s="13" t="n">
        <x:v>2.45</x:v>
      </x:c>
      <x:c r="F21" s="13" t="n">
        <x:v>2.56</x:v>
      </x:c>
      <x:c r="G21" s="13">
        <x:f>SUM(D21:F21)</x:f>
      </x:c>
      <x:c r="H21" s="12">
        <x:f>IFERROR(SUMIFS(Monthly_Performance!$N:$N,Monthly_Performance!$E:$E,A21,Monthly_Performance!$H:$H,B21)/SUMIFS(Monthly_Performance!$K:$K,Monthly_Performance!$E:$E,A21,Monthly_Performance!$H:$H,B21),0)</x:f>
      </x:c>
      <x:c r="I21" s="13" t="inlineStr">
        <x:is>
          <x:t xml:space="preserve">Synthetic - CIE training only</x:t>
        </x:is>
      </x:c>
    </x:row>
    <x:row r="22">
      <x:c r="A22" s="13" t="inlineStr">
        <x:is>
          <x:t xml:space="preserve">Eastvale</x:t>
        </x:is>
      </x:c>
      <x:c r="B22" s="13" t="inlineStr">
        <x:is>
          <x:t xml:space="preserve">General &amp; Admin Cost</x:t>
        </x:is>
      </x:c>
      <x:c r="C22" s="13" t="inlineStr">
        <x:is>
          <x:t xml:space="preserve">Cost</x:t>
        </x:is>
      </x:c>
      <x:c r="D22" s="13" t="n">
        <x:v>2.05</x:v>
      </x:c>
      <x:c r="E22" s="13" t="n">
        <x:v>1.95</x:v>
      </x:c>
      <x:c r="F22" s="13" t="n">
        <x:v>2.15</x:v>
      </x:c>
      <x:c r="G22" s="13">
        <x:f>SUM(D22:F22)</x:f>
      </x:c>
      <x:c r="H22" s="12">
        <x:f>IFERROR(SUMIFS(Monthly_Performance!$N:$N,Monthly_Performance!$E:$E,A22,Monthly_Performance!$H:$H,B22)/SUMIFS(Monthly_Performance!$K:$K,Monthly_Performance!$E:$E,A22,Monthly_Performance!$H:$H,B22),0)</x:f>
      </x:c>
      <x:c r="I22" s="13" t="inlineStr">
        <x:is>
          <x:t xml:space="preserve">Synthetic - CIE training only</x:t>
        </x:is>
      </x:c>
    </x:row>
    <x:row r="23">
      <x:c r="A23" s="13" t="inlineStr">
        <x:is>
          <x:t xml:space="preserve">Eastvale</x:t>
        </x:is>
      </x:c>
      <x:c r="B23" s="13" t="inlineStr">
        <x:is>
          <x:t xml:space="preserve">Facilities Cost</x:t>
        </x:is>
      </x:c>
      <x:c r="C23" s="13" t="inlineStr">
        <x:is>
          <x:t xml:space="preserve">Cost</x:t>
        </x:is>
      </x:c>
      <x:c r="D23" s="13" t="n">
        <x:v>1.16</x:v>
      </x:c>
      <x:c r="E23" s="13" t="n">
        <x:v>1.22</x:v>
      </x:c>
      <x:c r="F23" s="13" t="n">
        <x:v>1.35</x:v>
      </x:c>
      <x:c r="G23" s="13">
        <x:f>SUM(D23:F23)</x:f>
      </x:c>
      <x:c r="H23" s="12">
        <x:f>IFERROR(SUMIFS(Monthly_Performance!$N:$N,Monthly_Performance!$E:$E,A23,Monthly_Performance!$H:$H,B23)/SUMIFS(Monthly_Performance!$K:$K,Monthly_Performance!$E:$E,A23,Monthly_Performance!$H:$H,B23),0)</x:f>
      </x:c>
      <x:c r="I23" s="13" t="inlineStr">
        <x:is>
          <x:t xml:space="preserve">Synthetic - CIE training only</x:t>
        </x:is>
      </x:c>
    </x:row>
    <x:row r="24">
      <x:c r="A24" s="13" t="inlineStr">
        <x:is>
          <x:t xml:space="preserve">Southport</x:t>
        </x:is>
      </x:c>
      <x:c r="B24" s="13" t="inlineStr">
        <x:is>
          <x:t xml:space="preserve">Net Revenue</x:t>
        </x:is>
      </x:c>
      <x:c r="C24" s="13" t="inlineStr">
        <x:is>
          <x:t xml:space="preserve">Revenue</x:t>
        </x:is>
      </x:c>
      <x:c r="D24" s="13" t="n">
        <x:v>56.67</x:v>
      </x:c>
      <x:c r="E24" s="13" t="n">
        <x:v>55.25</x:v>
      </x:c>
      <x:c r="F24" s="13" t="n">
        <x:v>57.54</x:v>
      </x:c>
      <x:c r="G24" s="13">
        <x:f>SUM(D24:F24)</x:f>
      </x:c>
      <x:c r="H24" s="12">
        <x:f>IFERROR(SUMIFS(Monthly_Performance!$N:$N,Monthly_Performance!$E:$E,A24,Monthly_Performance!$H:$H,B24)/SUMIFS(Monthly_Performance!$K:$K,Monthly_Performance!$E:$E,A24,Monthly_Performance!$H:$H,B24),0)</x:f>
      </x:c>
      <x:c r="I24" s="13" t="inlineStr">
        <x:is>
          <x:t xml:space="preserve">Synthetic - CIE training only</x:t>
        </x:is>
      </x:c>
    </x:row>
    <x:row r="25">
      <x:c r="A25" s="13" t="inlineStr">
        <x:is>
          <x:t xml:space="preserve">Southport</x:t>
        </x:is>
      </x:c>
      <x:c r="B25" s="13" t="inlineStr">
        <x:is>
          <x:t xml:space="preserve">Other Operating Income</x:t>
        </x:is>
      </x:c>
      <x:c r="C25" s="13" t="inlineStr">
        <x:is>
          <x:t xml:space="preserve">Revenue</x:t>
        </x:is>
      </x:c>
      <x:c r="D25" s="13" t="n">
        <x:v>1.4</x:v>
      </x:c>
      <x:c r="E25" s="13" t="n">
        <x:v>1.34</x:v>
      </x:c>
      <x:c r="F25" s="13" t="n">
        <x:v>1.41</x:v>
      </x:c>
      <x:c r="G25" s="13">
        <x:f>SUM(D25:F25)</x:f>
      </x:c>
      <x:c r="H25" s="12">
        <x:f>IFERROR(SUMIFS(Monthly_Performance!$N:$N,Monthly_Performance!$E:$E,A25,Monthly_Performance!$H:$H,B25)/SUMIFS(Monthly_Performance!$K:$K,Monthly_Performance!$E:$E,A25,Monthly_Performance!$H:$H,B25),0)</x:f>
      </x:c>
      <x:c r="I25" s="13" t="inlineStr">
        <x:is>
          <x:t xml:space="preserve">Synthetic - CIE training only</x:t>
        </x:is>
      </x:c>
    </x:row>
    <x:row r="26">
      <x:c r="A26" s="13" t="inlineStr">
        <x:is>
          <x:t xml:space="preserve">Southport</x:t>
        </x:is>
      </x:c>
      <x:c r="B26" s="13" t="inlineStr">
        <x:is>
          <x:t xml:space="preserve">Cost of Goods Sold</x:t>
        </x:is>
      </x:c>
      <x:c r="C26" s="13" t="inlineStr">
        <x:is>
          <x:t xml:space="preserve">Cost</x:t>
        </x:is>
      </x:c>
      <x:c r="D26" s="13" t="n">
        <x:v>20.13</x:v>
      </x:c>
      <x:c r="E26" s="13" t="n">
        <x:v>19.78</x:v>
      </x:c>
      <x:c r="F26" s="13" t="n">
        <x:v>21.77</x:v>
      </x:c>
      <x:c r="G26" s="13">
        <x:f>SUM(D26:F26)</x:f>
      </x:c>
      <x:c r="H26" s="12">
        <x:f>IFERROR(SUMIFS(Monthly_Performance!$N:$N,Monthly_Performance!$E:$E,A26,Monthly_Performance!$H:$H,B26)/SUMIFS(Monthly_Performance!$K:$K,Monthly_Performance!$E:$E,A26,Monthly_Performance!$H:$H,B26),0)</x:f>
      </x:c>
      <x:c r="I26" s="13" t="inlineStr">
        <x:is>
          <x:t xml:space="preserve">Synthetic - CIE training only</x:t>
        </x:is>
      </x:c>
    </x:row>
    <x:row r="27">
      <x:c r="A27" s="13" t="inlineStr">
        <x:is>
          <x:t xml:space="preserve">Southport</x:t>
        </x:is>
      </x:c>
      <x:c r="B27" s="13" t="inlineStr">
        <x:is>
          <x:t xml:space="preserve">Logistics &amp; Distribution</x:t>
        </x:is>
      </x:c>
      <x:c r="C27" s="13" t="inlineStr">
        <x:is>
          <x:t xml:space="preserve">Cost</x:t>
        </x:is>
      </x:c>
      <x:c r="D27" s="13" t="n">
        <x:v>4.04</x:v>
      </x:c>
      <x:c r="E27" s="13" t="n">
        <x:v>4.09</x:v>
      </x:c>
      <x:c r="F27" s="13" t="n">
        <x:v>4.37</x:v>
      </x:c>
      <x:c r="G27" s="13">
        <x:f>SUM(D27:F27)</x:f>
      </x:c>
      <x:c r="H27" s="12">
        <x:f>IFERROR(SUMIFS(Monthly_Performance!$N:$N,Monthly_Performance!$E:$E,A27,Monthly_Performance!$H:$H,B27)/SUMIFS(Monthly_Performance!$K:$K,Monthly_Performance!$E:$E,A27,Monthly_Performance!$H:$H,B27),0)</x:f>
      </x:c>
      <x:c r="I27" s="13" t="inlineStr">
        <x:is>
          <x:t xml:space="preserve">Synthetic - CIE training only</x:t>
        </x:is>
      </x:c>
    </x:row>
    <x:row r="28">
      <x:c r="A28" s="13" t="inlineStr">
        <x:is>
          <x:t xml:space="preserve">Southport</x:t>
        </x:is>
      </x:c>
      <x:c r="B28" s="13" t="inlineStr">
        <x:is>
          <x:t xml:space="preserve">Trade Marketing Investment</x:t>
        </x:is>
      </x:c>
      <x:c r="C28" s="13" t="inlineStr">
        <x:is>
          <x:t xml:space="preserve">Cost</x:t>
        </x:is>
      </x:c>
      <x:c r="D28" s="13" t="n">
        <x:v>5.41</x:v>
      </x:c>
      <x:c r="E28" s="13" t="n">
        <x:v>5.41</x:v>
      </x:c>
      <x:c r="F28" s="13" t="n">
        <x:v>5.73</x:v>
      </x:c>
      <x:c r="G28" s="13">
        <x:f>SUM(D28:F28)</x:f>
      </x:c>
      <x:c r="H28" s="12">
        <x:f>IFERROR(SUMIFS(Monthly_Performance!$N:$N,Monthly_Performance!$E:$E,A28,Monthly_Performance!$H:$H,B28)/SUMIFS(Monthly_Performance!$K:$K,Monthly_Performance!$E:$E,A28,Monthly_Performance!$H:$H,B28),0)</x:f>
      </x:c>
      <x:c r="I28" s="13" t="inlineStr">
        <x:is>
          <x:t xml:space="preserve">Synthetic - CIE training only</x:t>
        </x:is>
      </x:c>
    </x:row>
    <x:row r="29">
      <x:c r="A29" s="13" t="inlineStr">
        <x:is>
          <x:t xml:space="preserve">Southport</x:t>
        </x:is>
      </x:c>
      <x:c r="B29" s="13" t="inlineStr">
        <x:is>
          <x:t xml:space="preserve">Sales Force Cost</x:t>
        </x:is>
      </x:c>
      <x:c r="C29" s="13" t="inlineStr">
        <x:is>
          <x:t xml:space="preserve">Cost</x:t>
        </x:is>
      </x:c>
      <x:c r="D29" s="13" t="n">
        <x:v>3.13</x:v>
      </x:c>
      <x:c r="E29" s="13" t="n">
        <x:v>3.14</x:v>
      </x:c>
      <x:c r="F29" s="13" t="n">
        <x:v>3.38</x:v>
      </x:c>
      <x:c r="G29" s="13">
        <x:f>SUM(D29:F29)</x:f>
      </x:c>
      <x:c r="H29" s="12">
        <x:f>IFERROR(SUMIFS(Monthly_Performance!$N:$N,Monthly_Performance!$E:$E,A29,Monthly_Performance!$H:$H,B29)/SUMIFS(Monthly_Performance!$K:$K,Monthly_Performance!$E:$E,A29,Monthly_Performance!$H:$H,B29),0)</x:f>
      </x:c>
      <x:c r="I29" s="13" t="inlineStr">
        <x:is>
          <x:t xml:space="preserve">Synthetic - CIE training only</x:t>
        </x:is>
      </x:c>
    </x:row>
    <x:row r="30">
      <x:c r="A30" s="13" t="inlineStr">
        <x:is>
          <x:t xml:space="preserve">Southport</x:t>
        </x:is>
      </x:c>
      <x:c r="B30" s="13" t="inlineStr">
        <x:is>
          <x:t xml:space="preserve">Digital &amp; IT Cost</x:t>
        </x:is>
      </x:c>
      <x:c r="C30" s="13" t="inlineStr">
        <x:is>
          <x:t xml:space="preserve">Cost</x:t>
        </x:is>
      </x:c>
      <x:c r="D30" s="13" t="n">
        <x:v>2.27</x:v>
      </x:c>
      <x:c r="E30" s="13" t="n">
        <x:v>2.25</x:v>
      </x:c>
      <x:c r="F30" s="13" t="n">
        <x:v>2.41</x:v>
      </x:c>
      <x:c r="G30" s="13">
        <x:f>SUM(D30:F30)</x:f>
      </x:c>
      <x:c r="H30" s="12">
        <x:f>IFERROR(SUMIFS(Monthly_Performance!$N:$N,Monthly_Performance!$E:$E,A30,Monthly_Performance!$H:$H,B30)/SUMIFS(Monthly_Performance!$K:$K,Monthly_Performance!$E:$E,A30,Monthly_Performance!$H:$H,B30),0)</x:f>
      </x:c>
      <x:c r="I30" s="13" t="inlineStr">
        <x:is>
          <x:t xml:space="preserve">Synthetic - CIE training only</x:t>
        </x:is>
      </x:c>
    </x:row>
    <x:row r="31">
      <x:c r="A31" s="13" t="inlineStr">
        <x:is>
          <x:t xml:space="preserve">Southport</x:t>
        </x:is>
      </x:c>
      <x:c r="B31" s="13" t="inlineStr">
        <x:is>
          <x:t xml:space="preserve">General &amp; Admin Cost</x:t>
        </x:is>
      </x:c>
      <x:c r="C31" s="13" t="inlineStr">
        <x:is>
          <x:t xml:space="preserve">Cost</x:t>
        </x:is>
      </x:c>
      <x:c r="D31" s="13" t="n">
        <x:v>1.84</x:v>
      </x:c>
      <x:c r="E31" s="13" t="n">
        <x:v>1.71</x:v>
      </x:c>
      <x:c r="F31" s="13" t="n">
        <x:v>1.85</x:v>
      </x:c>
      <x:c r="G31" s="13">
        <x:f>SUM(D31:F31)</x:f>
      </x:c>
      <x:c r="H31" s="12">
        <x:f>IFERROR(SUMIFS(Monthly_Performance!$N:$N,Monthly_Performance!$E:$E,A31,Monthly_Performance!$H:$H,B31)/SUMIFS(Monthly_Performance!$K:$K,Monthly_Performance!$E:$E,A31,Monthly_Performance!$H:$H,B31),0)</x:f>
      </x:c>
      <x:c r="I31" s="13" t="inlineStr">
        <x:is>
          <x:t xml:space="preserve">Synthetic - CIE training only</x:t>
        </x:is>
      </x:c>
    </x:row>
    <x:row r="32">
      <x:c r="A32" s="13" t="inlineStr">
        <x:is>
          <x:t xml:space="preserve">Southport</x:t>
        </x:is>
      </x:c>
      <x:c r="B32" s="13" t="inlineStr">
        <x:is>
          <x:t xml:space="preserve">Facilities Cost</x:t>
        </x:is>
      </x:c>
      <x:c r="C32" s="13" t="inlineStr">
        <x:is>
          <x:t xml:space="preserve">Cost</x:t>
        </x:is>
      </x:c>
      <x:c r="D32" s="13" t="n">
        <x:v>1.08</x:v>
      </x:c>
      <x:c r="E32" s="13" t="n">
        <x:v>1.11</x:v>
      </x:c>
      <x:c r="F32" s="13" t="n">
        <x:v>1.15</x:v>
      </x:c>
      <x:c r="G32" s="13">
        <x:f>SUM(D32:F32)</x:f>
      </x:c>
      <x:c r="H32" s="12">
        <x:f>IFERROR(SUMIFS(Monthly_Performance!$N:$N,Monthly_Performance!$E:$E,A32,Monthly_Performance!$H:$H,B32)/SUMIFS(Monthly_Performance!$K:$K,Monthly_Performance!$E:$E,A32,Monthly_Performance!$H:$H,B32),0)</x:f>
      </x:c>
      <x:c r="I32" s="13" t="inlineStr">
        <x:is>
          <x:t xml:space="preserve">Synthetic - CIE training only</x:t>
        </x:is>
      </x:c>
    </x:row>
    <x:row r="33">
      <x:c r="A33" s="13" t="inlineStr">
        <x:is>
          <x:t xml:space="preserve">Westbrook</x:t>
        </x:is>
      </x:c>
      <x:c r="B33" s="13" t="inlineStr">
        <x:is>
          <x:t xml:space="preserve">Net Revenue</x:t>
        </x:is>
      </x:c>
      <x:c r="C33" s="13" t="inlineStr">
        <x:is>
          <x:t xml:space="preserve">Revenue</x:t>
        </x:is>
      </x:c>
      <x:c r="D33" s="13" t="n">
        <x:v>63.94</x:v>
      </x:c>
      <x:c r="E33" s="13" t="n">
        <x:v>65.36</x:v>
      </x:c>
      <x:c r="F33" s="13" t="n">
        <x:v>70.2</x:v>
      </x:c>
      <x:c r="G33" s="13">
        <x:f>SUM(D33:F33)</x:f>
      </x:c>
      <x:c r="H33" s="12">
        <x:f>IFERROR(SUMIFS(Monthly_Performance!$N:$N,Monthly_Performance!$E:$E,A33,Monthly_Performance!$H:$H,B33)/SUMIFS(Monthly_Performance!$K:$K,Monthly_Performance!$E:$E,A33,Monthly_Performance!$H:$H,B33),0)</x:f>
      </x:c>
      <x:c r="I33" s="13" t="inlineStr">
        <x:is>
          <x:t xml:space="preserve">Synthetic - CIE training only</x:t>
        </x:is>
      </x:c>
    </x:row>
    <x:row r="34">
      <x:c r="A34" s="13" t="inlineStr">
        <x:is>
          <x:t xml:space="preserve">Westbrook</x:t>
        </x:is>
      </x:c>
      <x:c r="B34" s="13" t="inlineStr">
        <x:is>
          <x:t xml:space="preserve">Other Operating Income</x:t>
        </x:is>
      </x:c>
      <x:c r="C34" s="13" t="inlineStr">
        <x:is>
          <x:t xml:space="preserve">Revenue</x:t>
        </x:is>
      </x:c>
      <x:c r="D34" s="13" t="n">
        <x:v>1.7</x:v>
      </x:c>
      <x:c r="E34" s="13" t="n">
        <x:v>1.54</x:v>
      </x:c>
      <x:c r="F34" s="13" t="n">
        <x:v>1.79</x:v>
      </x:c>
      <x:c r="G34" s="13">
        <x:f>SUM(D34:F34)</x:f>
      </x:c>
      <x:c r="H34" s="12">
        <x:f>IFERROR(SUMIFS(Monthly_Performance!$N:$N,Monthly_Performance!$E:$E,A34,Monthly_Performance!$H:$H,B34)/SUMIFS(Monthly_Performance!$K:$K,Monthly_Performance!$E:$E,A34,Monthly_Performance!$H:$H,B34),0)</x:f>
      </x:c>
      <x:c r="I34" s="13" t="inlineStr">
        <x:is>
          <x:t xml:space="preserve">Synthetic - CIE training only</x:t>
        </x:is>
      </x:c>
    </x:row>
    <x:row r="35">
      <x:c r="A35" s="13" t="inlineStr">
        <x:is>
          <x:t xml:space="preserve">Westbrook</x:t>
        </x:is>
      </x:c>
      <x:c r="B35" s="13" t="inlineStr">
        <x:is>
          <x:t xml:space="preserve">Cost of Goods Sold</x:t>
        </x:is>
      </x:c>
      <x:c r="C35" s="13" t="inlineStr">
        <x:is>
          <x:t xml:space="preserve">Cost</x:t>
        </x:is>
      </x:c>
      <x:c r="D35" s="13" t="n">
        <x:v>25.81</x:v>
      </x:c>
      <x:c r="E35" s="13" t="n">
        <x:v>23.68</x:v>
      </x:c>
      <x:c r="F35" s="13" t="n">
        <x:v>24.5</x:v>
      </x:c>
      <x:c r="G35" s="13">
        <x:f>SUM(D35:F35)</x:f>
      </x:c>
      <x:c r="H35" s="12">
        <x:f>IFERROR(SUMIFS(Monthly_Performance!$N:$N,Monthly_Performance!$E:$E,A35,Monthly_Performance!$H:$H,B35)/SUMIFS(Monthly_Performance!$K:$K,Monthly_Performance!$E:$E,A35,Monthly_Performance!$H:$H,B35),0)</x:f>
      </x:c>
      <x:c r="I35" s="13" t="inlineStr">
        <x:is>
          <x:t xml:space="preserve">Synthetic - CIE training only</x:t>
        </x:is>
      </x:c>
    </x:row>
    <x:row r="36">
      <x:c r="A36" s="13" t="inlineStr">
        <x:is>
          <x:t xml:space="preserve">Westbrook</x:t>
        </x:is>
      </x:c>
      <x:c r="B36" s="13" t="inlineStr">
        <x:is>
          <x:t xml:space="preserve">Logistics &amp; Distribution</x:t>
        </x:is>
      </x:c>
      <x:c r="C36" s="13" t="inlineStr">
        <x:is>
          <x:t xml:space="preserve">Cost</x:t>
        </x:is>
      </x:c>
      <x:c r="D36" s="13" t="n">
        <x:v>5.09</x:v>
      </x:c>
      <x:c r="E36" s="13" t="n">
        <x:v>5</x:v>
      </x:c>
      <x:c r="F36" s="13" t="n">
        <x:v>5.24</x:v>
      </x:c>
      <x:c r="G36" s="13">
        <x:f>SUM(D36:F36)</x:f>
      </x:c>
      <x:c r="H36" s="12">
        <x:f>IFERROR(SUMIFS(Monthly_Performance!$N:$N,Monthly_Performance!$E:$E,A36,Monthly_Performance!$H:$H,B36)/SUMIFS(Monthly_Performance!$K:$K,Monthly_Performance!$E:$E,A36,Monthly_Performance!$H:$H,B36),0)</x:f>
      </x:c>
      <x:c r="I36" s="13" t="inlineStr">
        <x:is>
          <x:t xml:space="preserve">Synthetic - CIE training only</x:t>
        </x:is>
      </x:c>
    </x:row>
    <x:row r="37">
      <x:c r="A37" s="13" t="inlineStr">
        <x:is>
          <x:t xml:space="preserve">Westbrook</x:t>
        </x:is>
      </x:c>
      <x:c r="B37" s="13" t="inlineStr">
        <x:is>
          <x:t xml:space="preserve">Trade Marketing Investment</x:t>
        </x:is>
      </x:c>
      <x:c r="C37" s="13" t="inlineStr">
        <x:is>
          <x:t xml:space="preserve">Cost</x:t>
        </x:is>
      </x:c>
      <x:c r="D37" s="13" t="n">
        <x:v>6.61</x:v>
      </x:c>
      <x:c r="E37" s="13" t="n">
        <x:v>6.64</x:v>
      </x:c>
      <x:c r="F37" s="13" t="n">
        <x:v>7.18</x:v>
      </x:c>
      <x:c r="G37" s="13">
        <x:f>SUM(D37:F37)</x:f>
      </x:c>
      <x:c r="H37" s="12">
        <x:f>IFERROR(SUMIFS(Monthly_Performance!$N:$N,Monthly_Performance!$E:$E,A37,Monthly_Performance!$H:$H,B37)/SUMIFS(Monthly_Performance!$K:$K,Monthly_Performance!$E:$E,A37,Monthly_Performance!$H:$H,B37),0)</x:f>
      </x:c>
      <x:c r="I37" s="13" t="inlineStr">
        <x:is>
          <x:t xml:space="preserve">Synthetic - CIE training only</x:t>
        </x:is>
      </x:c>
    </x:row>
    <x:row r="38">
      <x:c r="A38" s="13" t="inlineStr">
        <x:is>
          <x:t xml:space="preserve">Westbrook</x:t>
        </x:is>
      </x:c>
      <x:c r="B38" s="13" t="inlineStr">
        <x:is>
          <x:t xml:space="preserve">Sales Force Cost</x:t>
        </x:is>
      </x:c>
      <x:c r="C38" s="13" t="inlineStr">
        <x:is>
          <x:t xml:space="preserve">Cost</x:t>
        </x:is>
      </x:c>
      <x:c r="D38" s="13" t="n">
        <x:v>3.83</x:v>
      </x:c>
      <x:c r="E38" s="13" t="n">
        <x:v>3.78</x:v>
      </x:c>
      <x:c r="F38" s="13" t="n">
        <x:v>4</x:v>
      </x:c>
      <x:c r="G38" s="13">
        <x:f>SUM(D38:F38)</x:f>
      </x:c>
      <x:c r="H38" s="12">
        <x:f>IFERROR(SUMIFS(Monthly_Performance!$N:$N,Monthly_Performance!$E:$E,A38,Monthly_Performance!$H:$H,B38)/SUMIFS(Monthly_Performance!$K:$K,Monthly_Performance!$E:$E,A38,Monthly_Performance!$H:$H,B38),0)</x:f>
      </x:c>
      <x:c r="I38" s="13" t="inlineStr">
        <x:is>
          <x:t xml:space="preserve">Synthetic - CIE training only</x:t>
        </x:is>
      </x:c>
    </x:row>
    <x:row r="39">
      <x:c r="A39" s="13" t="inlineStr">
        <x:is>
          <x:t xml:space="preserve">Westbrook</x:t>
        </x:is>
      </x:c>
      <x:c r="B39" s="13" t="inlineStr">
        <x:is>
          <x:t xml:space="preserve">Digital &amp; IT Cost</x:t>
        </x:is>
      </x:c>
      <x:c r="C39" s="13" t="inlineStr">
        <x:is>
          <x:t xml:space="preserve">Cost</x:t>
        </x:is>
      </x:c>
      <x:c r="D39" s="13" t="n">
        <x:v>2.84</x:v>
      </x:c>
      <x:c r="E39" s="13" t="n">
        <x:v>2.73</x:v>
      </x:c>
      <x:c r="F39" s="13" t="n">
        <x:v>2.97</x:v>
      </x:c>
      <x:c r="G39" s="13">
        <x:f>SUM(D39:F39)</x:f>
      </x:c>
      <x:c r="H39" s="12">
        <x:f>IFERROR(SUMIFS(Monthly_Performance!$N:$N,Monthly_Performance!$E:$E,A39,Monthly_Performance!$H:$H,B39)/SUMIFS(Monthly_Performance!$K:$K,Monthly_Performance!$E:$E,A39,Monthly_Performance!$H:$H,B39),0)</x:f>
      </x:c>
      <x:c r="I39" s="13" t="inlineStr">
        <x:is>
          <x:t xml:space="preserve">Synthetic - CIE training only</x:t>
        </x:is>
      </x:c>
    </x:row>
    <x:row r="40">
      <x:c r="A40" s="13" t="inlineStr">
        <x:is>
          <x:t xml:space="preserve">Westbrook</x:t>
        </x:is>
      </x:c>
      <x:c r="B40" s="13" t="inlineStr">
        <x:is>
          <x:t xml:space="preserve">General &amp; Admin Cost</x:t>
        </x:is>
      </x:c>
      <x:c r="C40" s="13" t="inlineStr">
        <x:is>
          <x:t xml:space="preserve">Cost</x:t>
        </x:is>
      </x:c>
      <x:c r="D40" s="13" t="n">
        <x:v>2.17</x:v>
      </x:c>
      <x:c r="E40" s="13" t="n">
        <x:v>2.06</x:v>
      </x:c>
      <x:c r="F40" s="13" t="n">
        <x:v>2.31</x:v>
      </x:c>
      <x:c r="G40" s="13">
        <x:f>SUM(D40:F40)</x:f>
      </x:c>
      <x:c r="H40" s="12">
        <x:f>IFERROR(SUMIFS(Monthly_Performance!$N:$N,Monthly_Performance!$E:$E,A40,Monthly_Performance!$H:$H,B40)/SUMIFS(Monthly_Performance!$K:$K,Monthly_Performance!$E:$E,A40,Monthly_Performance!$H:$H,B40),0)</x:f>
      </x:c>
      <x:c r="I40" s="13" t="inlineStr">
        <x:is>
          <x:t xml:space="preserve">Synthetic - CIE training only</x:t>
        </x:is>
      </x:c>
    </x:row>
    <x:row r="41">
      <x:c r="A41" s="13" t="inlineStr">
        <x:is>
          <x:t xml:space="preserve">Westbrook</x:t>
        </x:is>
      </x:c>
      <x:c r="B41" s="13" t="inlineStr">
        <x:is>
          <x:t xml:space="preserve">Facilities Cost</x:t>
        </x:is>
      </x:c>
      <x:c r="C41" s="13" t="inlineStr">
        <x:is>
          <x:t xml:space="preserve">Cost</x:t>
        </x:is>
      </x:c>
      <x:c r="D41" s="13" t="n">
        <x:v>1.39</x:v>
      </x:c>
      <x:c r="E41" s="13" t="n">
        <x:v>1.3</x:v>
      </x:c>
      <x:c r="F41" s="13" t="n">
        <x:v>1.41</x:v>
      </x:c>
      <x:c r="G41" s="13">
        <x:f>SUM(D41:F41)</x:f>
      </x:c>
      <x:c r="H41" s="12">
        <x:f>IFERROR(SUMIFS(Monthly_Performance!$N:$N,Monthly_Performance!$E:$E,A41,Monthly_Performance!$H:$H,B41)/SUMIFS(Monthly_Performance!$K:$K,Monthly_Performance!$E:$E,A41,Monthly_Performance!$H:$H,B41),0)</x:f>
      </x:c>
      <x:c r="I41" s="13" t="inlineStr">
        <x:is>
          <x:t xml:space="preserve">Synthetic - CIE training only</x:t>
        </x:is>
      </x:c>
    </x:row>
    <x:row r="42">
      <x:c r="A42" s="13" t="inlineStr">
        <x:is>
          <x:t xml:space="preserve">Centralis</x:t>
        </x:is>
      </x:c>
      <x:c r="B42" s="13" t="inlineStr">
        <x:is>
          <x:t xml:space="preserve">Net Revenue</x:t>
        </x:is>
      </x:c>
      <x:c r="C42" s="13" t="inlineStr">
        <x:is>
          <x:t xml:space="preserve">Revenue</x:t>
        </x:is>
      </x:c>
      <x:c r="D42" s="13" t="n">
        <x:v>50.39</x:v>
      </x:c>
      <x:c r="E42" s="13" t="n">
        <x:v>50.77</x:v>
      </x:c>
      <x:c r="F42" s="13" t="n">
        <x:v>50.91</x:v>
      </x:c>
      <x:c r="G42" s="13">
        <x:f>SUM(D42:F42)</x:f>
      </x:c>
      <x:c r="H42" s="12">
        <x:f>IFERROR(SUMIFS(Monthly_Performance!$N:$N,Monthly_Performance!$E:$E,A42,Monthly_Performance!$H:$H,B42)/SUMIFS(Monthly_Performance!$K:$K,Monthly_Performance!$E:$E,A42,Monthly_Performance!$H:$H,B42),0)</x:f>
      </x:c>
      <x:c r="I42" s="13" t="inlineStr">
        <x:is>
          <x:t xml:space="preserve">Synthetic - CIE training only</x:t>
        </x:is>
      </x:c>
    </x:row>
    <x:row r="43">
      <x:c r="A43" s="13" t="inlineStr">
        <x:is>
          <x:t xml:space="preserve">Centralis</x:t>
        </x:is>
      </x:c>
      <x:c r="B43" s="13" t="inlineStr">
        <x:is>
          <x:t xml:space="preserve">Other Operating Income</x:t>
        </x:is>
      </x:c>
      <x:c r="C43" s="13" t="inlineStr">
        <x:is>
          <x:t xml:space="preserve">Revenue</x:t>
        </x:is>
      </x:c>
      <x:c r="D43" s="13" t="n">
        <x:v>1.13</x:v>
      </x:c>
      <x:c r="E43" s="13" t="n">
        <x:v>1.15</x:v>
      </x:c>
      <x:c r="F43" s="13" t="n">
        <x:v>1.22</x:v>
      </x:c>
      <x:c r="G43" s="13">
        <x:f>SUM(D43:F43)</x:f>
      </x:c>
      <x:c r="H43" s="12">
        <x:f>IFERROR(SUMIFS(Monthly_Performance!$N:$N,Monthly_Performance!$E:$E,A43,Monthly_Performance!$H:$H,B43)/SUMIFS(Monthly_Performance!$K:$K,Monthly_Performance!$E:$E,A43,Monthly_Performance!$H:$H,B43),0)</x:f>
      </x:c>
      <x:c r="I43" s="13" t="inlineStr">
        <x:is>
          <x:t xml:space="preserve">Synthetic - CIE training only</x:t>
        </x:is>
      </x:c>
    </x:row>
    <x:row r="44">
      <x:c r="A44" s="13" t="inlineStr">
        <x:is>
          <x:t xml:space="preserve">Centralis</x:t>
        </x:is>
      </x:c>
      <x:c r="B44" s="13" t="inlineStr">
        <x:is>
          <x:t xml:space="preserve">Cost of Goods Sold</x:t>
        </x:is>
      </x:c>
      <x:c r="C44" s="13" t="inlineStr">
        <x:is>
          <x:t xml:space="preserve">Cost</x:t>
        </x:is>
      </x:c>
      <x:c r="D44" s="13" t="n">
        <x:v>17.62</x:v>
      </x:c>
      <x:c r="E44" s="13" t="n">
        <x:v>18.47</x:v>
      </x:c>
      <x:c r="F44" s="13" t="n">
        <x:v>17.86</x:v>
      </x:c>
      <x:c r="G44" s="13">
        <x:f>SUM(D44:F44)</x:f>
      </x:c>
      <x:c r="H44" s="12">
        <x:f>IFERROR(SUMIFS(Monthly_Performance!$N:$N,Monthly_Performance!$E:$E,A44,Monthly_Performance!$H:$H,B44)/SUMIFS(Monthly_Performance!$K:$K,Monthly_Performance!$E:$E,A44,Monthly_Performance!$H:$H,B44),0)</x:f>
      </x:c>
      <x:c r="I44" s="13" t="inlineStr">
        <x:is>
          <x:t xml:space="preserve">Synthetic - CIE training only</x:t>
        </x:is>
      </x:c>
    </x:row>
    <x:row r="45">
      <x:c r="A45" s="13" t="inlineStr">
        <x:is>
          <x:t xml:space="preserve">Centralis</x:t>
        </x:is>
      </x:c>
      <x:c r="B45" s="13" t="inlineStr">
        <x:is>
          <x:t xml:space="preserve">Logistics &amp; Distribution</x:t>
        </x:is>
      </x:c>
      <x:c r="C45" s="13" t="inlineStr">
        <x:is>
          <x:t xml:space="preserve">Cost</x:t>
        </x:is>
      </x:c>
      <x:c r="D45" s="13" t="n">
        <x:v>3.59</x:v>
      </x:c>
      <x:c r="E45" s="13" t="n">
        <x:v>3.56</x:v>
      </x:c>
      <x:c r="F45" s="13" t="n">
        <x:v>3.72</x:v>
      </x:c>
      <x:c r="G45" s="13">
        <x:f>SUM(D45:F45)</x:f>
      </x:c>
      <x:c r="H45" s="12">
        <x:f>IFERROR(SUMIFS(Monthly_Performance!$N:$N,Monthly_Performance!$E:$E,A45,Monthly_Performance!$H:$H,B45)/SUMIFS(Monthly_Performance!$K:$K,Monthly_Performance!$E:$E,A45,Monthly_Performance!$H:$H,B45),0)</x:f>
      </x:c>
      <x:c r="I45" s="13" t="inlineStr">
        <x:is>
          <x:t xml:space="preserve">Synthetic - CIE training only</x:t>
        </x:is>
      </x:c>
    </x:row>
    <x:row r="46">
      <x:c r="A46" s="13" t="inlineStr">
        <x:is>
          <x:t xml:space="preserve">Centralis</x:t>
        </x:is>
      </x:c>
      <x:c r="B46" s="13" t="inlineStr">
        <x:is>
          <x:t xml:space="preserve">Trade Marketing Investment</x:t>
        </x:is>
      </x:c>
      <x:c r="C46" s="13" t="inlineStr">
        <x:is>
          <x:t xml:space="preserve">Cost</x:t>
        </x:is>
      </x:c>
      <x:c r="D46" s="13" t="n">
        <x:v>4.77</x:v>
      </x:c>
      <x:c r="E46" s="13" t="n">
        <x:v>4.51</x:v>
      </x:c>
      <x:c r="F46" s="13" t="n">
        <x:v>4.99</x:v>
      </x:c>
      <x:c r="G46" s="13">
        <x:f>SUM(D46:F46)</x:f>
      </x:c>
      <x:c r="H46" s="12">
        <x:f>IFERROR(SUMIFS(Monthly_Performance!$N:$N,Monthly_Performance!$E:$E,A46,Monthly_Performance!$H:$H,B46)/SUMIFS(Monthly_Performance!$K:$K,Monthly_Performance!$E:$E,A46,Monthly_Performance!$H:$H,B46),0)</x:f>
      </x:c>
      <x:c r="I46" s="13" t="inlineStr">
        <x:is>
          <x:t xml:space="preserve">Synthetic - CIE training only</x:t>
        </x:is>
      </x:c>
    </x:row>
    <x:row r="47">
      <x:c r="A47" s="13" t="inlineStr">
        <x:is>
          <x:t xml:space="preserve">Centralis</x:t>
        </x:is>
      </x:c>
      <x:c r="B47" s="13" t="inlineStr">
        <x:is>
          <x:t xml:space="preserve">Sales Force Cost</x:t>
        </x:is>
      </x:c>
      <x:c r="C47" s="13" t="inlineStr">
        <x:is>
          <x:t xml:space="preserve">Cost</x:t>
        </x:is>
      </x:c>
      <x:c r="D47" s="13" t="n">
        <x:v>2.94</x:v>
      </x:c>
      <x:c r="E47" s="13" t="n">
        <x:v>2.83</x:v>
      </x:c>
      <x:c r="F47" s="13" t="n">
        <x:v>2.97</x:v>
      </x:c>
      <x:c r="G47" s="13">
        <x:f>SUM(D47:F47)</x:f>
      </x:c>
      <x:c r="H47" s="12">
        <x:f>IFERROR(SUMIFS(Monthly_Performance!$N:$N,Monthly_Performance!$E:$E,A47,Monthly_Performance!$H:$H,B47)/SUMIFS(Monthly_Performance!$K:$K,Monthly_Performance!$E:$E,A47,Monthly_Performance!$H:$H,B47),0)</x:f>
      </x:c>
      <x:c r="I47" s="13" t="inlineStr">
        <x:is>
          <x:t xml:space="preserve">Synthetic - CIE training only</x:t>
        </x:is>
      </x:c>
    </x:row>
    <x:row r="48">
      <x:c r="A48" s="13" t="inlineStr">
        <x:is>
          <x:t xml:space="preserve">Centralis</x:t>
        </x:is>
      </x:c>
      <x:c r="B48" s="13" t="inlineStr">
        <x:is>
          <x:t xml:space="preserve">Digital &amp; IT Cost</x:t>
        </x:is>
      </x:c>
      <x:c r="C48" s="13" t="inlineStr">
        <x:is>
          <x:t xml:space="preserve">Cost</x:t>
        </x:is>
      </x:c>
      <x:c r="D48" s="13" t="n">
        <x:v>2.05</x:v>
      </x:c>
      <x:c r="E48" s="13" t="n">
        <x:v>1.87</x:v>
      </x:c>
      <x:c r="F48" s="13" t="n">
        <x:v>2.15</x:v>
      </x:c>
      <x:c r="G48" s="13">
        <x:f>SUM(D48:F48)</x:f>
      </x:c>
      <x:c r="H48" s="12">
        <x:f>IFERROR(SUMIFS(Monthly_Performance!$N:$N,Monthly_Performance!$E:$E,A48,Monthly_Performance!$H:$H,B48)/SUMIFS(Monthly_Performance!$K:$K,Monthly_Performance!$E:$E,A48,Monthly_Performance!$H:$H,B48),0)</x:f>
      </x:c>
      <x:c r="I48" s="13" t="inlineStr">
        <x:is>
          <x:t xml:space="preserve">Synthetic - CIE training only</x:t>
        </x:is>
      </x:c>
    </x:row>
    <x:row r="49">
      <x:c r="A49" s="13" t="inlineStr">
        <x:is>
          <x:t xml:space="preserve">Centralis</x:t>
        </x:is>
      </x:c>
      <x:c r="B49" s="13" t="inlineStr">
        <x:is>
          <x:t xml:space="preserve">General &amp; Admin Cost</x:t>
        </x:is>
      </x:c>
      <x:c r="C49" s="13" t="inlineStr">
        <x:is>
          <x:t xml:space="preserve">Cost</x:t>
        </x:is>
      </x:c>
      <x:c r="D49" s="13" t="n">
        <x:v>1.66</x:v>
      </x:c>
      <x:c r="E49" s="13" t="n">
        <x:v>1.57</x:v>
      </x:c>
      <x:c r="F49" s="13" t="n">
        <x:v>1.53</x:v>
      </x:c>
      <x:c r="G49" s="13">
        <x:f>SUM(D49:F49)</x:f>
      </x:c>
      <x:c r="H49" s="12">
        <x:f>IFERROR(SUMIFS(Monthly_Performance!$N:$N,Monthly_Performance!$E:$E,A49,Monthly_Performance!$H:$H,B49)/SUMIFS(Monthly_Performance!$K:$K,Monthly_Performance!$E:$E,A49,Monthly_Performance!$H:$H,B49),0)</x:f>
      </x:c>
      <x:c r="I49" s="13" t="inlineStr">
        <x:is>
          <x:t xml:space="preserve">Synthetic - CIE training only</x:t>
        </x:is>
      </x:c>
    </x:row>
    <x:row r="50">
      <x:c r="A50" s="13" t="inlineStr">
        <x:is>
          <x:t xml:space="preserve">Centralis</x:t>
        </x:is>
      </x:c>
      <x:c r="B50" s="13" t="inlineStr">
        <x:is>
          <x:t xml:space="preserve">Facilities Cost</x:t>
        </x:is>
      </x:c>
      <x:c r="C50" s="13" t="inlineStr">
        <x:is>
          <x:t xml:space="preserve">Cost</x:t>
        </x:is>
      </x:c>
      <x:c r="D50" s="13" t="n">
        <x:v>0.95</x:v>
      </x:c>
      <x:c r="E50" s="13" t="n">
        <x:v>0.93</x:v>
      </x:c>
      <x:c r="F50" s="13" t="n">
        <x:v>1.02</x:v>
      </x:c>
      <x:c r="G50" s="13">
        <x:f>SUM(D50:F50)</x:f>
      </x:c>
      <x:c r="H50" s="12">
        <x:f>IFERROR(SUMIFS(Monthly_Performance!$N:$N,Monthly_Performance!$E:$E,A50,Monthly_Performance!$H:$H,B50)/SUMIFS(Monthly_Performance!$K:$K,Monthly_Performance!$E:$E,A50,Monthly_Performance!$H:$H,B50),0)</x:f>
      </x:c>
      <x:c r="I50" s="13" t="inlineStr">
        <x:is>
          <x:t xml:space="preserve">Synthetic - CIE training only</x:t>
        </x:is>
      </x:c>
    </x:row>
    <x:row r="51">
      <x:c r="A51" s="13" t="inlineStr">
        <x:is>
          <x:t xml:space="preserve">Islemark</x:t>
        </x:is>
      </x:c>
      <x:c r="B51" s="13" t="inlineStr">
        <x:is>
          <x:t xml:space="preserve">Net Revenue</x:t>
        </x:is>
      </x:c>
      <x:c r="C51" s="13" t="inlineStr">
        <x:is>
          <x:t xml:space="preserve">Revenue</x:t>
        </x:is>
      </x:c>
      <x:c r="D51" s="13" t="n">
        <x:v>36.44</x:v>
      </x:c>
      <x:c r="E51" s="13" t="n">
        <x:v>37.32</x:v>
      </x:c>
      <x:c r="F51" s="13" t="n">
        <x:v>38.03</x:v>
      </x:c>
      <x:c r="G51" s="13">
        <x:f>SUM(D51:F51)</x:f>
      </x:c>
      <x:c r="H51" s="12">
        <x:f>IFERROR(SUMIFS(Monthly_Performance!$N:$N,Monthly_Performance!$E:$E,A51,Monthly_Performance!$H:$H,B51)/SUMIFS(Monthly_Performance!$K:$K,Monthly_Performance!$E:$E,A51,Monthly_Performance!$H:$H,B51),0)</x:f>
      </x:c>
      <x:c r="I51" s="13" t="inlineStr">
        <x:is>
          <x:t xml:space="preserve">Synthetic - CIE training only</x:t>
        </x:is>
      </x:c>
    </x:row>
    <x:row r="52">
      <x:c r="A52" s="13" t="inlineStr">
        <x:is>
          <x:t xml:space="preserve">Islemark</x:t>
        </x:is>
      </x:c>
      <x:c r="B52" s="13" t="inlineStr">
        <x:is>
          <x:t xml:space="preserve">Other Operating Income</x:t>
        </x:is>
      </x:c>
      <x:c r="C52" s="13" t="inlineStr">
        <x:is>
          <x:t xml:space="preserve">Revenue</x:t>
        </x:is>
      </x:c>
      <x:c r="D52" s="13" t="n">
        <x:v>0.88</x:v>
      </x:c>
      <x:c r="E52" s="13" t="n">
        <x:v>0.84</x:v>
      </x:c>
      <x:c r="F52" s="13" t="n">
        <x:v>0.9399999999999999</x:v>
      </x:c>
      <x:c r="G52" s="13">
        <x:f>SUM(D52:F52)</x:f>
      </x:c>
      <x:c r="H52" s="12">
        <x:f>IFERROR(SUMIFS(Monthly_Performance!$N:$N,Monthly_Performance!$E:$E,A52,Monthly_Performance!$H:$H,B52)/SUMIFS(Monthly_Performance!$K:$K,Monthly_Performance!$E:$E,A52,Monthly_Performance!$H:$H,B52),0)</x:f>
      </x:c>
      <x:c r="I52" s="13" t="inlineStr">
        <x:is>
          <x:t xml:space="preserve">Synthetic - CIE training only</x:t>
        </x:is>
      </x:c>
    </x:row>
    <x:row r="53">
      <x:c r="A53" s="13" t="inlineStr">
        <x:is>
          <x:t xml:space="preserve">Islemark</x:t>
        </x:is>
      </x:c>
      <x:c r="B53" s="13" t="inlineStr">
        <x:is>
          <x:t xml:space="preserve">Cost of Goods Sold</x:t>
        </x:is>
      </x:c>
      <x:c r="C53" s="13" t="inlineStr">
        <x:is>
          <x:t xml:space="preserve">Cost</x:t>
        </x:is>
      </x:c>
      <x:c r="D53" s="13" t="n">
        <x:v>13.48</x:v>
      </x:c>
      <x:c r="E53" s="13" t="n">
        <x:v>13.76</x:v>
      </x:c>
      <x:c r="F53" s="13" t="n">
        <x:v>13.47</x:v>
      </x:c>
      <x:c r="G53" s="13">
        <x:f>SUM(D53:F53)</x:f>
      </x:c>
      <x:c r="H53" s="12">
        <x:f>IFERROR(SUMIFS(Monthly_Performance!$N:$N,Monthly_Performance!$E:$E,A53,Monthly_Performance!$H:$H,B53)/SUMIFS(Monthly_Performance!$K:$K,Monthly_Performance!$E:$E,A53,Monthly_Performance!$H:$H,B53),0)</x:f>
      </x:c>
      <x:c r="I53" s="13" t="inlineStr">
        <x:is>
          <x:t xml:space="preserve">Synthetic - CIE training only</x:t>
        </x:is>
      </x:c>
    </x:row>
    <x:row r="54">
      <x:c r="A54" s="13" t="inlineStr">
        <x:is>
          <x:t xml:space="preserve">Islemark</x:t>
        </x:is>
      </x:c>
      <x:c r="B54" s="13" t="inlineStr">
        <x:is>
          <x:t xml:space="preserve">Logistics &amp; Distribution</x:t>
        </x:is>
      </x:c>
      <x:c r="C54" s="13" t="inlineStr">
        <x:is>
          <x:t xml:space="preserve">Cost</x:t>
        </x:is>
      </x:c>
      <x:c r="D54" s="13" t="n">
        <x:v>2.75</x:v>
      </x:c>
      <x:c r="E54" s="13" t="n">
        <x:v>2.52</x:v>
      </x:c>
      <x:c r="F54" s="13" t="n">
        <x:v>2.97</x:v>
      </x:c>
      <x:c r="G54" s="13">
        <x:f>SUM(D54:F54)</x:f>
      </x:c>
      <x:c r="H54" s="12">
        <x:f>IFERROR(SUMIFS(Monthly_Performance!$N:$N,Monthly_Performance!$E:$E,A54,Monthly_Performance!$H:$H,B54)/SUMIFS(Monthly_Performance!$K:$K,Monthly_Performance!$E:$E,A54,Monthly_Performance!$H:$H,B54),0)</x:f>
      </x:c>
      <x:c r="I54" s="13" t="inlineStr">
        <x:is>
          <x:t xml:space="preserve">Synthetic - CIE training only</x:t>
        </x:is>
      </x:c>
    </x:row>
    <x:row r="55">
      <x:c r="A55" s="13" t="inlineStr">
        <x:is>
          <x:t xml:space="preserve">Islemark</x:t>
        </x:is>
      </x:c>
      <x:c r="B55" s="13" t="inlineStr">
        <x:is>
          <x:t xml:space="preserve">Trade Marketing Investment</x:t>
        </x:is>
      </x:c>
      <x:c r="C55" s="13" t="inlineStr">
        <x:is>
          <x:t xml:space="preserve">Cost</x:t>
        </x:is>
      </x:c>
      <x:c r="D55" s="13" t="n">
        <x:v>3.6</x:v>
      </x:c>
      <x:c r="E55" s="13" t="n">
        <x:v>3.57</x:v>
      </x:c>
      <x:c r="F55" s="13" t="n">
        <x:v>3.74</x:v>
      </x:c>
      <x:c r="G55" s="13">
        <x:f>SUM(D55:F55)</x:f>
      </x:c>
      <x:c r="H55" s="12">
        <x:f>IFERROR(SUMIFS(Monthly_Performance!$N:$N,Monthly_Performance!$E:$E,A55,Monthly_Performance!$H:$H,B55)/SUMIFS(Monthly_Performance!$K:$K,Monthly_Performance!$E:$E,A55,Monthly_Performance!$H:$H,B55),0)</x:f>
      </x:c>
      <x:c r="I55" s="13" t="inlineStr">
        <x:is>
          <x:t xml:space="preserve">Synthetic - CIE training only</x:t>
        </x:is>
      </x:c>
    </x:row>
    <x:row r="56">
      <x:c r="A56" s="13" t="inlineStr">
        <x:is>
          <x:t xml:space="preserve">Islemark</x:t>
        </x:is>
      </x:c>
      <x:c r="B56" s="13" t="inlineStr">
        <x:is>
          <x:t xml:space="preserve">Sales Force Cost</x:t>
        </x:is>
      </x:c>
      <x:c r="C56" s="13" t="inlineStr">
        <x:is>
          <x:t xml:space="preserve">Cost</x:t>
        </x:is>
      </x:c>
      <x:c r="D56" s="13" t="n">
        <x:v>2.19</x:v>
      </x:c>
      <x:c r="E56" s="13" t="n">
        <x:v>2.06</x:v>
      </x:c>
      <x:c r="F56" s="13" t="n">
        <x:v>2.29</x:v>
      </x:c>
      <x:c r="G56" s="13">
        <x:f>SUM(D56:F56)</x:f>
      </x:c>
      <x:c r="H56" s="12">
        <x:f>IFERROR(SUMIFS(Monthly_Performance!$N:$N,Monthly_Performance!$E:$E,A56,Monthly_Performance!$H:$H,B56)/SUMIFS(Monthly_Performance!$K:$K,Monthly_Performance!$E:$E,A56,Monthly_Performance!$H:$H,B56),0)</x:f>
      </x:c>
      <x:c r="I56" s="13" t="inlineStr">
        <x:is>
          <x:t xml:space="preserve">Synthetic - CIE training only</x:t>
        </x:is>
      </x:c>
    </x:row>
    <x:row r="57">
      <x:c r="A57" s="13" t="inlineStr">
        <x:is>
          <x:t xml:space="preserve">Islemark</x:t>
        </x:is>
      </x:c>
      <x:c r="B57" s="13" t="inlineStr">
        <x:is>
          <x:t xml:space="preserve">Digital &amp; IT Cost</x:t>
        </x:is>
      </x:c>
      <x:c r="C57" s="13" t="inlineStr">
        <x:is>
          <x:t xml:space="preserve">Cost</x:t>
        </x:is>
      </x:c>
      <x:c r="D57" s="13" t="n">
        <x:v>1.53</x:v>
      </x:c>
      <x:c r="E57" s="13" t="n">
        <x:v>1.48</x:v>
      </x:c>
      <x:c r="F57" s="13" t="n">
        <x:v>1.58</x:v>
      </x:c>
      <x:c r="G57" s="13">
        <x:f>SUM(D57:F57)</x:f>
      </x:c>
      <x:c r="H57" s="12">
        <x:f>IFERROR(SUMIFS(Monthly_Performance!$N:$N,Monthly_Performance!$E:$E,A57,Monthly_Performance!$H:$H,B57)/SUMIFS(Monthly_Performance!$K:$K,Monthly_Performance!$E:$E,A57,Monthly_Performance!$H:$H,B57),0)</x:f>
      </x:c>
      <x:c r="I57" s="13" t="inlineStr">
        <x:is>
          <x:t xml:space="preserve">Synthetic - CIE training only</x:t>
        </x:is>
      </x:c>
    </x:row>
    <x:row r="58">
      <x:c r="A58" s="13" t="inlineStr">
        <x:is>
          <x:t xml:space="preserve">Islemark</x:t>
        </x:is>
      </x:c>
      <x:c r="B58" s="13" t="inlineStr">
        <x:is>
          <x:t xml:space="preserve">General &amp; Admin Cost</x:t>
        </x:is>
      </x:c>
      <x:c r="C58" s="13" t="inlineStr">
        <x:is>
          <x:t xml:space="preserve">Cost</x:t>
        </x:is>
      </x:c>
      <x:c r="D58" s="13" t="n">
        <x:v>1.26</x:v>
      </x:c>
      <x:c r="E58" s="13" t="n">
        <x:v>1.22</x:v>
      </x:c>
      <x:c r="F58" s="13" t="n">
        <x:v>1.24</x:v>
      </x:c>
      <x:c r="G58" s="13">
        <x:f>SUM(D58:F58)</x:f>
      </x:c>
      <x:c r="H58" s="12">
        <x:f>IFERROR(SUMIFS(Monthly_Performance!$N:$N,Monthly_Performance!$E:$E,A58,Monthly_Performance!$H:$H,B58)/SUMIFS(Monthly_Performance!$K:$K,Monthly_Performance!$E:$E,A58,Monthly_Performance!$H:$H,B58),0)</x:f>
      </x:c>
      <x:c r="I58" s="13" t="inlineStr">
        <x:is>
          <x:t xml:space="preserve">Synthetic - CIE training only</x:t>
        </x:is>
      </x:c>
    </x:row>
    <x:row r="59">
      <x:c r="A59" s="13" t="inlineStr">
        <x:is>
          <x:t xml:space="preserve">Islemark</x:t>
        </x:is>
      </x:c>
      <x:c r="B59" s="13" t="inlineStr">
        <x:is>
          <x:t xml:space="preserve">Facilities Cost</x:t>
        </x:is>
      </x:c>
      <x:c r="C59" s="13" t="inlineStr">
        <x:is>
          <x:t xml:space="preserve">Cost</x:t>
        </x:is>
      </x:c>
      <x:c r="D59" s="13" t="n">
        <x:v>0.73</x:v>
      </x:c>
      <x:c r="E59" s="13" t="n">
        <x:v>0.67</x:v>
      </x:c>
      <x:c r="F59" s="13" t="n">
        <x:v>0.76</x:v>
      </x:c>
      <x:c r="G59" s="13">
        <x:f>SUM(D59:F59)</x:f>
      </x:c>
      <x:c r="H59" s="12">
        <x:f>IFERROR(SUMIFS(Monthly_Performance!$N:$N,Monthly_Performance!$E:$E,A59,Monthly_Performance!$H:$H,B59)/SUMIFS(Monthly_Performance!$K:$K,Monthly_Performance!$E:$E,A59,Monthly_Performance!$H:$H,B59),0)</x:f>
      </x:c>
      <x:c r="I59" s="13" t="inlineStr">
        <x:is>
          <x:t xml:space="preserve">Synthetic - CIE training only</x:t>
        </x:is>
      </x:c>
    </x:row>
  </x:sheetData>
  <x:pageMargins left="0.7" right="0.7" top="0.75" bottom="0.75" header="0.3" footer="0.3"/>
  <x:tableParts count="1">
    <x:tablePart xmlns:r="http://schemas.openxmlformats.org/officeDocument/2006/relationships" r:id="Rd90f3514897c4a6d"/>
  </x:tableParts>
</x:worksheet>
</file>

<file path=xl/worksheets/sheet4.xml><?xml version="1.0" encoding="utf-8"?>
<x:worksheet xmlns:x="http://schemas.openxmlformats.org/spreadsheetml/2006/main">
  <x:sheetFormatPr baseColWidth="8" defaultRowHeight="15"/>
  <x:cols>
    <x:col min="1" max="1" width="30" customWidth="1"/>
    <x:col min="2" max="2" width="34" customWidth="1"/>
    <x:col min="3" max="3" width="14" customWidth="1"/>
    <x:col min="4" max="4" width="34" customWidth="1"/>
    <x:col min="5" max="5" width="14" customWidth="1"/>
    <x:col min="6" max="6" width="70" customWidth="1"/>
  </x:cols>
  <x:sheetData>
    <x:row r="1">
      <x:c r="A1" s="1" t="inlineStr">
        <x:is>
          <x:t xml:space="preserve">Facilitator_Summary - seeded insights (live formulas)</x:t>
        </x:is>
      </x:c>
    </x:row>
    <x:row r="2">
      <x:c r="A2" s="2" t="inlineStr">
        <x:is>
          <x:t xml:space="preserve">Every figure below is a live SUMIFS / COUNTIFS / AVERAGEIFS formula over Monthly_Performance. Answer key states the expected insight.</x:t>
        </x:is>
      </x:c>
    </x:row>
    <x:row r="3">
      <x:c r="A3" s="3" t="inlineStr">
        <x:is>
          <x:t xml:space="preserve">SYNTHETIC CIE TRAINING MATERIAL - Not official BAT information, policy, employee data, process, or findings.</x:t>
        </x:is>
      </x:c>
      <x:c r="B3" s="4" t="n"/>
      <x:c r="C3" s="4" t="n"/>
      <x:c r="D3" s="4" t="n"/>
      <x:c r="E3" s="4" t="n"/>
      <x:c r="F3" s="4" t="n"/>
    </x:row>
    <x:row r="5">
      <x:c r="A5" s="8" t="inlineStr">
        <x:is>
          <x:t xml:space="preserve">Insight</x:t>
        </x:is>
      </x:c>
      <x:c r="B5" s="8" t="inlineStr">
        <x:is>
          <x:t xml:space="preserve">Measure</x:t>
        </x:is>
      </x:c>
      <x:c r="C5" s="8" t="inlineStr">
        <x:is>
          <x:t xml:space="preserve">Live value</x:t>
        </x:is>
      </x:c>
      <x:c r="D5" s="8" t="inlineStr">
        <x:is>
          <x:t xml:space="preserve">Supporting measure</x:t>
        </x:is>
      </x:c>
      <x:c r="E5" s="8" t="inlineStr">
        <x:is>
          <x:t xml:space="preserve">Live value</x:t>
        </x:is>
      </x:c>
      <x:c r="F5" s="8" t="inlineStr">
        <x:is>
          <x:t xml:space="preserve">Answer key (expected insight)</x:t>
        </x:is>
      </x:c>
    </x:row>
    <x:row r="6" ht="78" customHeight="1">
      <x:c r="A6" s="14" t="inlineStr">
        <x:is>
          <x:t xml:space="preserve">1. Eastvale volume shortfall</x:t>
        </x:is>
      </x:c>
      <x:c r="B6" s="6" t="inlineStr">
        <x:is>
          <x:t xml:space="preserve">Eastvale Net Revenue Q3 var vs budget (GBP m)</x:t>
        </x:is>
      </x:c>
      <x:c r="C6" s="15">
        <x:f>SUMIFS(Monthly_Performance!$N:$N,Monthly_Performance!$E:$E,"Eastvale",Monthly_Performance!$H:$H,"Net Revenue")</x:f>
      </x:c>
      <x:c r="D6" s="6" t="inlineStr">
        <x:is>
          <x:t xml:space="preserve">Var % = SUMIFS(Monthly_Performance!$N:$N,Monthly_Performance!$E:$E,"Eastvale",Monthly_Performance!$H:$H,"Net Revenue")/SUMIFS(Monthly_Performance!$K:$K,Monthly_Performance!$E:$E,"Eastvale",Monthly_Performance!$H:$H,"Net Revenue")</x:t>
        </x:is>
      </x:c>
      <x:c r="E6" s="16">
        <x:f>SUMIFS(Monthly_Performance!$N:$N,Monthly_Performance!$E:$E,"Eastvale",Monthly_Performance!$H:$H,"Net Revenue")/SUMIFS(Monthly_Performance!$K:$K,Monthly_Performance!$E:$E,"Eastvale",Monthly_Performance!$H:$H,"Net Revenue")</x:f>
      </x:c>
      <x:c r="F6" s="6" t="inlineStr">
        <x:is>
          <x:t xml:space="preserve">Eastvale Net Revenue is GBP -20.3m (-11.2%) below budget in Q3; volume driver GBP -16.82m explains ~83%. Commentary required in all 3 months. Lower COGS (GBP -4.23m) follows volume - not a saving.</x:t>
        </x:is>
      </x:c>
    </x:row>
    <x:row r="7" ht="78" customHeight="1">
      <x:c r="A7" s="14" t="inlineStr">
        <x:is>
          <x:t xml:space="preserve">2. Southport adverse FX</x:t>
        </x:is>
      </x:c>
      <x:c r="B7" s="6" t="inlineStr">
        <x:is>
          <x:t xml:space="preserve">Southport Net Revenue Q3 FX driver (GBP m)</x:t>
        </x:is>
      </x:c>
      <x:c r="C7" s="15">
        <x:f>SUMIFS(Monthly_Performance!$W:$W,Monthly_Performance!$E:$E,"Southport",Monthly_Performance!$H:$H,"Net Revenue")</x:f>
      </x:c>
      <x:c r="D7" s="6" t="inlineStr">
        <x:is>
          <x:t xml:space="preserve">Q3 var % vs budget</x:t>
        </x:is>
      </x:c>
      <x:c r="E7" s="16">
        <x:f>SUMIFS(Monthly_Performance!$N:$N,Monthly_Performance!$E:$E,"Southport",Monthly_Performance!$H:$H,"Net Revenue")/SUMIFS(Monthly_Performance!$K:$K,Monthly_Performance!$E:$E,"Southport",Monthly_Performance!$H:$H,"Net Revenue")</x:f>
      </x:c>
      <x:c r="F7" s="6" t="inlineStr">
        <x:is>
          <x:t xml:space="preserve">Southport Net Revenue is GBP -10.37m (-6.5%) below budget; FX driver GBP -11.86m - more than the whole variance (underlying slightly positive). Commentary required P08 and P09 only (P07 = -4.5%, below threshold). Q4 FX rate basis is an open item for Treasury.</x:t>
        </x:is>
      </x:c>
    </x:row>
    <x:row r="8" ht="78" customHeight="1">
      <x:c r="A8" s="14" t="inlineStr">
        <x:is>
          <x:t xml:space="preserve">3. Northmere price/mix</x:t>
        </x:is>
      </x:c>
      <x:c r="B8" s="6" t="inlineStr">
        <x:is>
          <x:t xml:space="preserve">Northmere Net Revenue Q3 price/mix driver (GBP m)</x:t>
        </x:is>
      </x:c>
      <x:c r="C8" s="15">
        <x:f>SUMIFS(Monthly_Performance!$V:$V,Monthly_Performance!$E:$E,"Northmere",Monthly_Performance!$H:$H,"Net Revenue")</x:f>
      </x:c>
      <x:c r="D8" s="6" t="inlineStr">
        <x:is>
          <x:t xml:space="preserve">Q3 var % vs budget</x:t>
        </x:is>
      </x:c>
      <x:c r="E8" s="16">
        <x:f>SUMIFS(Monthly_Performance!$N:$N,Monthly_Performance!$E:$E,"Northmere",Monthly_Performance!$H:$H,"Net Revenue")/SUMIFS(Monthly_Performance!$K:$K,Monthly_Performance!$E:$E,"Northmere",Monthly_Performance!$H:$H,"Net Revenue")</x:f>
      </x:c>
      <x:c r="F8" s="6" t="inlineStr">
        <x:is>
          <x:t xml:space="preserve">Northmere is favourable: price/mix +GBP 11.9m partly offset by volume; net +GBP 6.41m (+2.7%). Below 5% so no mandatory commentary, but it is the main offset at region level.</x:t>
        </x:is>
      </x:c>
    </x:row>
    <x:row r="9" ht="78" customHeight="1">
      <x:c r="A9" s="14" t="inlineStr">
        <x:is>
          <x:t xml:space="preserve">4. Westbrook timing (not a saving)</x:t>
        </x:is>
      </x:c>
      <x:c r="B9" s="6" t="inlineStr">
        <x:is>
          <x:t xml:space="preserve">Westbrook Trade Marketing Investment Q3 net var (GBP m)</x:t>
        </x:is>
      </x:c>
      <x:c r="C9" s="15">
        <x:f>SUMIFS(Monthly_Performance!$N:$N,Monthly_Performance!$E:$E,"Westbrook",Monthly_Performance!$H:$H,"Trade Marketing Investment")</x:f>
      </x:c>
      <x:c r="D9" s="6" t="inlineStr">
        <x:is>
          <x:t xml:space="preserve">P08 var (GBP m) | P09 var shown in answer key</x:t>
        </x:is>
      </x:c>
      <x:c r="E9" s="15">
        <x:f>SUMIFS(Monthly_Performance!$N:$N,Monthly_Performance!$E:$E,"Westbrook",Monthly_Performance!$H:$H,"Trade Marketing Investment",Monthly_Performance!$B:$B,"P08 Aug-2026")</x:f>
      </x:c>
      <x:c r="F9" s="6" t="inlineStr">
        <x:is>
          <x:t xml:space="preserve">P08 underspend GBP -2.78m (-40.1%) reverses in P09 (+GBP 2.42m, +37.9%); Q3 net only GBP -0.4m. Timing driver - must not be reported as a cost saving.</x:t>
        </x:is>
      </x:c>
    </x:row>
    <x:row r="10" ht="78" customHeight="1">
      <x:c r="A10" s="14" t="inlineStr">
        <x:is>
          <x:t xml:space="preserve">5. Centralis logistics overspend</x:t>
        </x:is>
      </x:c>
      <x:c r="B10" s="6" t="inlineStr">
        <x:is>
          <x:t xml:space="preserve">Centralis Logistics &amp; Distribution Q3 var (GBP m)</x:t>
        </x:is>
      </x:c>
      <x:c r="C10" s="15">
        <x:f>SUMIFS(Monthly_Performance!$N:$N,Monthly_Performance!$E:$E,"Centralis",Monthly_Performance!$H:$H,"Logistics &amp; Distribution")</x:f>
      </x:c>
      <x:c r="D10" s="6" t="inlineStr">
        <x:is>
          <x:t xml:space="preserve">Months unfavourable (COUNTIFS)</x:t>
        </x:is>
      </x:c>
      <x:c r="E10" s="15">
        <x:f>COUNTIFS(Monthly_Performance!$E:$E,"Centralis",Monthly_Performance!$H:$H,"Logistics &amp; Distribution",Monthly_Performance!$T:$T,"Unfavourable")</x:f>
      </x:c>
      <x:c r="F10" s="6" t="inlineStr">
        <x:is>
          <x:t xml:space="preserve">Centralis logistics is GBP 2.12m (+19.3%) over budget, unfavourable in 3 of 3 months, driven by price/rate (freight and fuel). Recurring - forecast should reflect it.</x:t>
        </x:is>
      </x:c>
    </x:row>
    <x:row r="11" ht="78" customHeight="1">
      <x:c r="A11" s="14" t="inlineStr">
        <x:is>
          <x:t xml:space="preserve">6. Islemark provisional figures</x:t>
        </x:is>
      </x:c>
      <x:c r="B11" s="6" t="inlineStr">
        <x:is>
          <x:t xml:space="preserve">Rows flagged provisional (COUNTIFS)</x:t>
        </x:is>
      </x:c>
      <x:c r="C11" s="17">
        <x:f>COUNTIFS(Monthly_Performance!$AA:$AA,"Provisional*")</x:f>
      </x:c>
      <x:c r="D11" s="6" t="inlineStr">
        <x:is>
          <x:t xml:space="preserve">Islemark P09 Net Revenue (provisional, GBP m)</x:t>
        </x:is>
      </x:c>
      <x:c r="E11" s="17">
        <x:f>SUMIFS(Monthly_Performance!$J:$J,Monthly_Performance!$E:$E,"Islemark",Monthly_Performance!$B:$B,"P09 Sep-2026",Monthly_Performance!$H:$H,"Net Revenue")</x:f>
      </x:c>
      <x:c r="F11" s="6" t="inlineStr">
        <x:is>
          <x:t xml:space="preserve">All 9 Islemark P09 rows are provisional (Net Revenue GBP 34.55m). They must be labelled 'provisional estimate' and never presented as actuals; confirm with local finance before the pack is issued.</x:t>
        </x:is>
      </x:c>
    </x:row>
    <x:row r="12" ht="78" customHeight="1">
      <x:c r="A12" s="14" t="inlineStr">
        <x:is>
          <x:t xml:space="preserve">7. Eastvale forecast accuracy</x:t>
        </x:is>
      </x:c>
      <x:c r="B12" s="6" t="inlineStr">
        <x:is>
          <x:t xml:space="preserve">Eastvale Net Revenue actual vs forecast Q3 (GBP m)</x:t>
        </x:is>
      </x:c>
      <x:c r="C12" s="15">
        <x:f>SUMIFS(Monthly_Performance!$R:$R,Monthly_Performance!$E:$E,"Eastvale",Monthly_Performance!$H:$H,"Net Revenue")</x:f>
      </x:c>
      <x:c r="D12" s="6" t="inlineStr">
        <x:is>
          <x:t xml:space="preserve">Other markets NR actual vs forecast %</x:t>
        </x:is>
      </x:c>
      <x:c r="E12" s="16">
        <x:f>(SUMIFS(Monthly_Performance!$J:$J,Monthly_Performance!$H:$H,"Net Revenue")-SUMIFS(Monthly_Performance!$J:$J,Monthly_Performance!$E:$E,"Eastvale",Monthly_Performance!$H:$H,"Net Revenue")-(SUMIFS(Monthly_Performance!$M:$M,Monthly_Performance!$H:$H,"Net Revenue")-SUMIFS(Monthly_Performance!$M:$M,Monthly_Performance!$E:$E,"Eastvale",Monthly_Performance!$H:$H,"Net Revenue")))/(SUMIFS(Monthly_Performance!$M:$M,Monthly_Performance!$H:$H,"Net Revenue")-SUMIFS(Monthly_Performance!$M:$M,Monthly_Performance!$E:$E,"Eastvale",Monthly_Performance!$H:$H,"Net Revenue"))</x:f>
      </x:c>
      <x:c r="F12" s="6" t="inlineStr">
        <x:is>
          <x:t xml:space="preserve">Eastvale Net Revenue actuals were -10.1% below the current forecast, while the other five markets were within +0.4%. The Q2 forecast did not reflect the volume shortfall - Q4 reforecast must.</x:t>
        </x:is>
      </x:c>
    </x:row>
    <x:row r="13" ht="78" customHeight="1">
      <x:c r="A13" s="14" t="inlineStr">
        <x:is>
          <x:t xml:space="preserve">8. Region total</x:t>
        </x:is>
      </x:c>
      <x:c r="B13" s="6" t="inlineStr">
        <x:is>
          <x:t xml:space="preserve">Region profit impact vs budget Q3 (GBP m)</x:t>
        </x:is>
      </x:c>
      <x:c r="C13" s="15">
        <x:f>SUM(Monthly_Performance!$S:$S)</x:f>
      </x:c>
      <x:c r="D13" s="6" t="inlineStr">
        <x:is>
          <x:t xml:space="preserve">Rows needing commentary (COUNTIFS)</x:t>
        </x:is>
      </x:c>
      <x:c r="E13" s="17">
        <x:f>COUNTIFS(Monthly_Performance!$Z:$Z,"Yes")</x:f>
      </x:c>
      <x:c r="F13" s="6" t="inlineStr">
        <x:is>
          <x:t xml:space="preserve">Region Atlas Q3 profit impact vs budget is GBP -20.55m (GBP -19.89m on closed actuals only). Net Revenue GBP -25.65m (-2.5%) vs budget but +1.1% vs prior year. 13 of 162 rows need commentary.</x:t>
        </x:is>
      </x:c>
    </x:row>
    <x:row r="15">
      <x:c r="A15" s="18" t="inlineStr">
        <x:is>
          <x:t xml:space="preserve">Profit impact vs budget by market, Q3 (GBP m) - AVERAGEIFS shows mean monthly Net Revenue variance %</x:t>
        </x:is>
      </x:c>
    </x:row>
    <x:row r="16">
      <x:c r="A16" s="8" t="inlineStr">
        <x:is>
          <x:t xml:space="preserve">Market</x:t>
        </x:is>
      </x:c>
      <x:c r="B16" s="8" t="inlineStr">
        <x:is>
          <x:t xml:space="preserve">Profit impact vs budget</x:t>
        </x:is>
      </x:c>
      <x:c r="C16" s="8" t="inlineStr">
        <x:is>
          <x:t xml:space="preserve">Net Revenue var vs budget</x:t>
        </x:is>
      </x:c>
      <x:c r="D16" s="8" t="inlineStr">
        <x:is>
          <x:t xml:space="preserve">Avg monthly NR var %</x:t>
        </x:is>
      </x:c>
      <x:c r="E16" s="8" t="inlineStr">
        <x:is>
          <x:t xml:space="preserve">Rows needing commentary</x:t>
        </x:is>
      </x:c>
      <x:c r="F16" s="8" t="inlineStr">
        <x:is>
          <x:t xml:space="preserve">Provisional rows</x:t>
        </x:is>
      </x:c>
    </x:row>
    <x:row r="17">
      <x:c r="A17" t="inlineStr">
        <x:is>
          <x:t xml:space="preserve">Northmere</x:t>
        </x:is>
      </x:c>
      <x:c r="B17" s="11">
        <x:f>SUMIFS(Monthly_Performance!$S:$S,Monthly_Performance!$E:$E,A17)</x:f>
      </x:c>
      <x:c r="C17" s="11">
        <x:f>SUMIFS(Monthly_Performance!$N:$N,Monthly_Performance!$E:$E,A17,Monthly_Performance!$H:$H,"Net Revenue")</x:f>
      </x:c>
      <x:c r="D17" s="12">
        <x:f>AVERAGEIFS(Monthly_Performance!$O:$O,Monthly_Performance!$E:$E,A17,Monthly_Performance!$H:$H,"Net Revenue")</x:f>
      </x:c>
      <x:c r="E17">
        <x:f>COUNTIFS(Monthly_Performance!$E:$E,A17,Monthly_Performance!$Z:$Z,"Yes")</x:f>
      </x:c>
      <x:c r="F17">
        <x:f>COUNTIFS(Monthly_Performance!$E:$E,A17,Monthly_Performance!$AA:$AA,"Provisional*")</x:f>
      </x:c>
    </x:row>
    <x:row r="18">
      <x:c r="A18" t="inlineStr">
        <x:is>
          <x:t xml:space="preserve">Eastvale</x:t>
        </x:is>
      </x:c>
      <x:c r="B18" s="11">
        <x:f>SUMIFS(Monthly_Performance!$S:$S,Monthly_Performance!$E:$E,A18)</x:f>
      </x:c>
      <x:c r="C18" s="11">
        <x:f>SUMIFS(Monthly_Performance!$N:$N,Monthly_Performance!$E:$E,A18,Monthly_Performance!$H:$H,"Net Revenue")</x:f>
      </x:c>
      <x:c r="D18" s="12">
        <x:f>AVERAGEIFS(Monthly_Performance!$O:$O,Monthly_Performance!$E:$E,A18,Monthly_Performance!$H:$H,"Net Revenue")</x:f>
      </x:c>
      <x:c r="E18">
        <x:f>COUNTIFS(Monthly_Performance!$E:$E,A18,Monthly_Performance!$Z:$Z,"Yes")</x:f>
      </x:c>
      <x:c r="F18">
        <x:f>COUNTIFS(Monthly_Performance!$E:$E,A18,Monthly_Performance!$AA:$AA,"Provisional*")</x:f>
      </x:c>
    </x:row>
    <x:row r="19">
      <x:c r="A19" t="inlineStr">
        <x:is>
          <x:t xml:space="preserve">Southport</x:t>
        </x:is>
      </x:c>
      <x:c r="B19" s="11">
        <x:f>SUMIFS(Monthly_Performance!$S:$S,Monthly_Performance!$E:$E,A19)</x:f>
      </x:c>
      <x:c r="C19" s="11">
        <x:f>SUMIFS(Monthly_Performance!$N:$N,Monthly_Performance!$E:$E,A19,Monthly_Performance!$H:$H,"Net Revenue")</x:f>
      </x:c>
      <x:c r="D19" s="12">
        <x:f>AVERAGEIFS(Monthly_Performance!$O:$O,Monthly_Performance!$E:$E,A19,Monthly_Performance!$H:$H,"Net Revenue")</x:f>
      </x:c>
      <x:c r="E19">
        <x:f>COUNTIFS(Monthly_Performance!$E:$E,A19,Monthly_Performance!$Z:$Z,"Yes")</x:f>
      </x:c>
      <x:c r="F19">
        <x:f>COUNTIFS(Monthly_Performance!$E:$E,A19,Monthly_Performance!$AA:$AA,"Provisional*")</x:f>
      </x:c>
    </x:row>
    <x:row r="20">
      <x:c r="A20" t="inlineStr">
        <x:is>
          <x:t xml:space="preserve">Westbrook</x:t>
        </x:is>
      </x:c>
      <x:c r="B20" s="11">
        <x:f>SUMIFS(Monthly_Performance!$S:$S,Monthly_Performance!$E:$E,A20)</x:f>
      </x:c>
      <x:c r="C20" s="11">
        <x:f>SUMIFS(Monthly_Performance!$N:$N,Monthly_Performance!$E:$E,A20,Monthly_Performance!$H:$H,"Net Revenue")</x:f>
      </x:c>
      <x:c r="D20" s="12">
        <x:f>AVERAGEIFS(Monthly_Performance!$O:$O,Monthly_Performance!$E:$E,A20,Monthly_Performance!$H:$H,"Net Revenue")</x:f>
      </x:c>
      <x:c r="E20">
        <x:f>COUNTIFS(Monthly_Performance!$E:$E,A20,Monthly_Performance!$Z:$Z,"Yes")</x:f>
      </x:c>
      <x:c r="F20">
        <x:f>COUNTIFS(Monthly_Performance!$E:$E,A20,Monthly_Performance!$AA:$AA,"Provisional*")</x:f>
      </x:c>
    </x:row>
    <x:row r="21">
      <x:c r="A21" t="inlineStr">
        <x:is>
          <x:t xml:space="preserve">Centralis</x:t>
        </x:is>
      </x:c>
      <x:c r="B21" s="11">
        <x:f>SUMIFS(Monthly_Performance!$S:$S,Monthly_Performance!$E:$E,A21)</x:f>
      </x:c>
      <x:c r="C21" s="11">
        <x:f>SUMIFS(Monthly_Performance!$N:$N,Monthly_Performance!$E:$E,A21,Monthly_Performance!$H:$H,"Net Revenue")</x:f>
      </x:c>
      <x:c r="D21" s="12">
        <x:f>AVERAGEIFS(Monthly_Performance!$O:$O,Monthly_Performance!$E:$E,A21,Monthly_Performance!$H:$H,"Net Revenue")</x:f>
      </x:c>
      <x:c r="E21">
        <x:f>COUNTIFS(Monthly_Performance!$E:$E,A21,Monthly_Performance!$Z:$Z,"Yes")</x:f>
      </x:c>
      <x:c r="F21">
        <x:f>COUNTIFS(Monthly_Performance!$E:$E,A21,Monthly_Performance!$AA:$AA,"Provisional*")</x:f>
      </x:c>
    </x:row>
    <x:row r="22">
      <x:c r="A22" t="inlineStr">
        <x:is>
          <x:t xml:space="preserve">Islemark</x:t>
        </x:is>
      </x:c>
      <x:c r="B22" s="11">
        <x:f>SUMIFS(Monthly_Performance!$S:$S,Monthly_Performance!$E:$E,A22)</x:f>
      </x:c>
      <x:c r="C22" s="11">
        <x:f>SUMIFS(Monthly_Performance!$N:$N,Monthly_Performance!$E:$E,A22,Monthly_Performance!$H:$H,"Net Revenue")</x:f>
      </x:c>
      <x:c r="D22" s="12">
        <x:f>AVERAGEIFS(Monthly_Performance!$O:$O,Monthly_Performance!$E:$E,A22,Monthly_Performance!$H:$H,"Net Revenue")</x:f>
      </x:c>
      <x:c r="E22">
        <x:f>COUNTIFS(Monthly_Performance!$E:$E,A22,Monthly_Performance!$Z:$Z,"Yes")</x:f>
      </x:c>
      <x:c r="F22">
        <x:f>COUNTIFS(Monthly_Performance!$E:$E,A22,Monthly_Performance!$AA:$AA,"Provisional*")</x:f>
      </x:c>
    </x:row>
    <x:row r="23">
      <x:c r="A23" s="19" t="inlineStr">
        <x:is>
          <x:t xml:space="preserve">Region Atlas</x:t>
        </x:is>
      </x:c>
      <x:c r="B23" s="20">
        <x:f>SUM(B17:B22)</x:f>
      </x:c>
      <x:c r="C23" s="20">
        <x:f>SUM(C17:C22)</x:f>
      </x:c>
      <x:c r="E23" s="19">
        <x:f>SUM(E17:E22)</x:f>
      </x:c>
      <x:c r="F23" s="19">
        <x:f>SUM(F17:F22)</x:f>
      </x:c>
    </x:row>
    <x:row r="26">
      <x:c r="A26" s="18" t="inlineStr">
        <x:is>
          <x:t xml:space="preserve">Region Net Revenue variance bridge vs budget, Q3 (GBP m)</x:t>
        </x:is>
      </x:c>
    </x:row>
    <x:row r="27">
      <x:c r="A27" s="8" t="inlineStr">
        <x:is>
          <x:t xml:space="preserve">Driver</x:t>
        </x:is>
      </x:c>
      <x:c r="B27" s="8" t="inlineStr">
        <x:is>
          <x:t xml:space="preserve">GBP m</x:t>
        </x:is>
      </x:c>
    </x:row>
    <x:row r="28">
      <x:c r="A28" t="inlineStr">
        <x:is>
          <x:t xml:space="preserve">Volume</x:t>
        </x:is>
      </x:c>
      <x:c r="B28" s="11">
        <x:f>SUMIFS(Monthly_Performance!$U:$U,Monthly_Performance!$H:$H,"Net Revenue")</x:f>
      </x:c>
    </x:row>
    <x:row r="29">
      <x:c r="A29" t="inlineStr">
        <x:is>
          <x:t xml:space="preserve">Price / mix</x:t>
        </x:is>
      </x:c>
      <x:c r="B29" s="11">
        <x:f>SUMIFS(Monthly_Performance!$V:$V,Monthly_Performance!$H:$H,"Net Revenue")</x:f>
      </x:c>
    </x:row>
    <x:row r="30">
      <x:c r="A30" t="inlineStr">
        <x:is>
          <x:t xml:space="preserve">FX</x:t>
        </x:is>
      </x:c>
      <x:c r="B30" s="11">
        <x:f>SUMIFS(Monthly_Performance!$W:$W,Monthly_Performance!$H:$H,"Net Revenue")</x:f>
      </x:c>
    </x:row>
    <x:row r="31">
      <x:c r="A31" t="inlineStr">
        <x:is>
          <x:t xml:space="preserve">Timing</x:t>
        </x:is>
      </x:c>
      <x:c r="B31" s="11">
        <x:f>SUMIFS(Monthly_Performance!$X:$X,Monthly_Performance!$H:$H,"Net Revenue")</x:f>
      </x:c>
    </x:row>
    <x:row r="32">
      <x:c r="A32" s="19" t="inlineStr">
        <x:is>
          <x:t xml:space="preserve">Total = Net Revenue var vs budget</x:t>
        </x:is>
      </x:c>
      <x:c r="B32" s="11">
        <x:f>SUM(B28:B31)</x:f>
      </x:c>
    </x:row>
    <x:row r="33">
      <x:c r="A33" t="inlineStr">
        <x:is>
          <x:t xml:space="preserve">Check vs Var_vs_Budget column</x:t>
        </x:is>
      </x:c>
      <x:c r="B33">
        <x:f>ROUND(B32-SUMIFS(Monthly_Performance!$N:$N,Monthly_Performance!$H:$H,"Net Revenue"),2)</x:f>
      </x:c>
    </x:row>
  </x:sheetData>
  <x:pageMargins left="0.7" right="0.7" top="0.75" bottom="0.75" header="0.3" footer="0.3"/>
  <x:drawing xmlns:r="http://schemas.openxmlformats.org/officeDocument/2006/relationships" r:id="Rb0e89b0d155446b2"/>
</x:worksheet>
</file>

<file path=xl/worksheets/sheet5.xml><?xml version="1.0" encoding="utf-8"?>
<x:worksheet xmlns:x="http://schemas.openxmlformats.org/spreadsheetml/2006/main">
  <x:sheetFormatPr baseColWidth="8" defaultRowHeight="15"/>
  <x:cols>
    <x:col min="1" max="1" width="20" customWidth="1"/>
    <x:col min="2" max="2" width="12" customWidth="1"/>
    <x:col min="3" max="3" width="110" customWidth="1"/>
    <x:col min="4" max="4" width="40" customWidth="1"/>
  </x:cols>
  <x:sheetData>
    <x:row r="1">
      <x:c r="A1" s="1" t="inlineStr">
        <x:is>
          <x:t xml:space="preserve">Prompts - copy-ready Copilot prompts for this workbook</x:t>
        </x:is>
      </x:c>
    </x:row>
    <x:row r="2">
      <x:c r="A2" s="2" t="inlineStr">
        <x:is>
          <x:t xml:space="preserve">Use in Excel Copilot (Monthly_Performance / Q4_Budget). Always review outputs against the Facilitator_Summary before sharing.</x:t>
        </x:is>
      </x:c>
    </x:row>
    <x:row r="3">
      <x:c r="A3" s="3" t="inlineStr">
        <x:is>
          <x:t xml:space="preserve">SYNTHETIC CIE TRAINING MATERIAL - Not official BAT information, policy, employee data, process, or findings.</x:t>
        </x:is>
      </x:c>
      <x:c r="B3" s="4" t="n"/>
      <x:c r="C3" s="4" t="n"/>
      <x:c r="D3" s="4" t="n"/>
    </x:row>
    <x:row r="5">
      <x:c r="A5" s="8" t="inlineStr">
        <x:is>
          <x:t xml:space="preserve">ID</x:t>
        </x:is>
      </x:c>
      <x:c r="B5" s="8" t="inlineStr">
        <x:is>
          <x:t xml:space="preserve">App</x:t>
        </x:is>
      </x:c>
      <x:c r="C5" s="8" t="inlineStr">
        <x:is>
          <x:t xml:space="preserve">Prompt (copy-ready)</x:t>
        </x:is>
      </x:c>
      <x:c r="D5" s="8" t="inlineStr">
        <x:is>
          <x:t xml:space="preserve">Expected check</x:t>
        </x:is>
      </x:c>
    </x:row>
    <x:row r="6" ht="110" customHeight="1">
      <x:c r="A6" s="21" t="inlineStr">
        <x:is>
          <x:t xml:space="preserve">E1 Variance overview</x:t>
        </x:is>
      </x:c>
      <x:c r="B6" s="22" t="inlineStr">
        <x:is>
          <x:t xml:space="preserve">Excel</x:t>
        </x:is>
      </x:c>
      <x:c r="C6" s="6" t="inlineStr">
        <x:is>
          <x:t xml:space="preserve">You are a Region Atlas finance analyst preparing the Q3 management performance review. Using the table tblPerformance on sheet Monthly_Performance, summarise Var_vs_Budget_GBPm and Profit_Impact_vs_Budget_GBPm by Market for P07-P09. Show a table with GBP m, Var_vs_Budget_Pct and the number of rows where Commentary_Required = Yes. Rank markets from most unfavourable to most favourable. State the row count you used. Do not invent figures; if Actual_Status is provisional, say so.</x:t>
        </x:is>
      </x:c>
      <x:c r="D6" s="6" t="inlineStr">
        <x:is>
          <x:t xml:space="preserve">Eastvale most unfavourable; Northmere and Westbrook favourable; 13 rows need commentary</x:t>
        </x:is>
      </x:c>
    </x:row>
    <x:row r="7" ht="110" customHeight="1">
      <x:c r="A7" s="21" t="inlineStr">
        <x:is>
          <x:t xml:space="preserve">E2 Driver bridge</x:t>
        </x:is>
      </x:c>
      <x:c r="B7" s="22" t="inlineStr">
        <x:is>
          <x:t xml:space="preserve">Excel</x:t>
        </x:is>
      </x:c>
      <x:c r="C7" s="6" t="inlineStr">
        <x:is>
          <x:t xml:space="preserve">For Account = Net Revenue in tblPerformance, build a variance bridge vs budget by Market using Volume_Driver_GBPm, Price_Mix_Driver_GBPm, FX_Driver_GBPm and Timing_Driver_GBPm. Confirm Driver_Check_GBPm is zero. Then tell me, in 3 bullets, which driver explains most of the variance in Eastvale and Southport, with GBP m and % of the market variance. Separate evidence (from the data) from inference.</x:t>
        </x:is>
      </x:c>
      <x:c r="D7" s="6" t="inlineStr">
        <x:is>
          <x:t xml:space="preserve">Eastvale volume ~83% of its NR variance; Southport FX GBP -11.86m exceeds its variance</x:t>
        </x:is>
      </x:c>
    </x:row>
    <x:row r="8" ht="110" customHeight="1">
      <x:c r="A8" s="21" t="inlineStr">
        <x:is>
          <x:t xml:space="preserve">E3 Flag review</x:t>
        </x:is>
      </x:c>
      <x:c r="B8" s="22" t="inlineStr">
        <x:is>
          <x:t xml:space="preserve">Excel</x:t>
        </x:is>
      </x:c>
      <x:c r="C8" s="6" t="inlineStr">
        <x:is>
          <x:t xml:space="preserve">Filter tblPerformance to Fav_Unfav_Flag = Unfavourable and Commentary_Required = Yes. List Period, Market, Account, Var_vs_Budget_GBPm, Var_vs_Budget_Pct and the dominant driver. Highlight any line where the dominant driver is Timing_Driver_GBPm and explain why that should not be described as a saving or a permanent overspend.</x:t>
        </x:is>
      </x:c>
      <x:c r="D8" s="6" t="inlineStr">
        <x:is>
          <x:t xml:space="preserve">Westbrook Trade Marketing P08/P09 identified as timing</x:t>
        </x:is>
      </x:c>
    </x:row>
    <x:row r="9" ht="110" customHeight="1">
      <x:c r="A9" s="21" t="inlineStr">
        <x:is>
          <x:t xml:space="preserve">E4 Forecast scenario</x:t>
        </x:is>
      </x:c>
      <x:c r="B9" s="22" t="inlineStr">
        <x:is>
          <x:t xml:space="preserve">Excel</x:t>
        </x:is>
      </x:c>
      <x:c r="C9" s="6" t="inlineStr">
        <x:is>
          <x:t xml:space="preserve">On sheet Q4_Budget (table tblQ4Budget), add three formula columns: Base_Q4_Forecast_GBPm = Q4_Budget_Total_GBPm * (1 + Q3_Run_Rate_Var_Pct); Downside_Q4_GBPm = Base minus a further 2% on Net Revenue rows only; Upside_Q4_GBPm = Base plus 1% on Net Revenue rows only. Then summarise Net Revenue by Market for Budget, Base, Downside and Upside. Keep formulas visible, do not hardcode values, and label the output 'Draft forecast scenario - not approved'.</x:t>
        </x:is>
      </x:c>
      <x:c r="D9" s="6" t="inlineStr">
        <x:is>
          <x:t xml:space="preserve">Draft scenarios use formulas; labelled not approved</x:t>
        </x:is>
      </x:c>
    </x:row>
    <x:row r="10" ht="110" customHeight="1">
      <x:c r="A10" s="21" t="inlineStr">
        <x:is>
          <x:t xml:space="preserve">E5 Forecast accuracy</x:t>
        </x:is>
      </x:c>
      <x:c r="B10" s="22" t="inlineStr">
        <x:is>
          <x:t xml:space="preserve">Excel</x:t>
        </x:is>
      </x:c>
      <x:c r="C10" s="6" t="inlineStr">
        <x:is>
          <x:t xml:space="preserve">Compare Actual_GBPm with Current_Forecast_GBPm for Account = Net Revenue by Market across P07-P09. Show Var_vs_Forecast_GBPm and % of forecast. Which market's forecast was least accurate, and what does the driver data suggest the Q4 forecast must reflect? Use only tblPerformance; flag Islemark P09 as provisional.</x:t>
        </x:is>
      </x:c>
      <x:c r="D10" s="6" t="inlineStr">
        <x:is>
          <x:t xml:space="preserve">Eastvale -10.1% vs forecast; others +0.4%</x:t>
        </x:is>
      </x:c>
    </x:row>
    <x:row r="11" ht="110" customHeight="1">
      <x:c r="A11" s="21" t="inlineStr">
        <x:is>
          <x:t xml:space="preserve">E6 Chart</x:t>
        </x:is>
      </x:c>
      <x:c r="B11" s="22" t="inlineStr">
        <x:is>
          <x:t xml:space="preserve">Excel</x:t>
        </x:is>
      </x:c>
      <x:c r="C11" s="6" t="inlineStr">
        <x:is>
          <x:t xml:space="preserve">Create a clustered bar chart of Profit_Impact_vs_Budget_GBPm by Market for Q3 and a second chart of the Net Revenue variance by driver. Title both charts with 'GBP m, synthetic' and add a one-line takeaway under each.</x:t>
        </x:is>
      </x:c>
      <x:c r="D11" s="6" t="inlineStr">
        <x:is>
          <x:t xml:space="preserve">Two charts with synthetic label</x:t>
        </x:is>
      </x:c>
    </x:row>
    <x:row r="12" ht="110" customHeight="1">
      <x:c r="A12" s="21" t="inlineStr">
        <x:is>
          <x:t xml:space="preserve">W1 Commentary</x:t>
        </x:is>
      </x:c>
      <x:c r="B12" s="22" t="inlineStr">
        <x:is>
          <x:t xml:space="preserve">Word</x:t>
        </x:is>
      </x:c>
      <x:c r="C12" s="6" t="inlineStr">
        <x:is>
          <x:t xml:space="preserve">Using the Excel summary I paste below and the BAT Variance Commentary FAQ_SYNTHETIC, draft management commentary for the Region Atlas Q3 review. Use the 'What - Why - So what - Now what' structure for each market where Commentary_Required = Yes. Quote GBP m and %, name the driver, label Islemark P09 as provisional, and do not invent causes not in the data. Max 350 words. Mark 'Draft for finance review'.</x:t>
        </x:is>
      </x:c>
      <x:c r="D12" s="6" t="inlineStr">
        <x:is>
          <x:t xml:space="preserve">What/Why/So what/Now what; Islemark labelled provisional</x:t>
        </x:is>
      </x:c>
    </x:row>
    <x:row r="13" ht="110" customHeight="1">
      <x:c r="A13" s="21" t="inlineStr">
        <x:is>
          <x:t xml:space="preserve">P1 Reporting deck</x:t>
        </x:is>
      </x:c>
      <x:c r="B13" s="22" t="inlineStr">
        <x:is>
          <x:t xml:space="preserve">PowerPoint</x:t>
        </x:is>
      </x:c>
      <x:c r="C13" s="6" t="inlineStr">
        <x:is>
          <x:t xml:space="preserve">Create a 5-slide management reporting deck from the commentary document: (1) Q3 headline vs budget and prior year, (2) Net Revenue variance bridge by driver, (3) markets requiring commentary, (4) Q4 forecast scenarios (draft, not approved), (5) decisions and approvals required. Use GBP m with the 'synthetic' label and add speaker notes.</x:t>
        </x:is>
      </x:c>
      <x:c r="D13" s="6" t="inlineStr">
        <x:is>
          <x:t xml:space="preserve">5 slides + notes; approvals slide</x:t>
        </x:is>
      </x:c>
    </x:row>
    <x:row r="14" ht="110" customHeight="1">
      <x:c r="A14" s="21" t="inlineStr">
        <x:is>
          <x:t xml:space="preserve">T1 Review actions</x:t>
        </x:is>
      </x:c>
      <x:c r="B14" s="22" t="inlineStr">
        <x:is>
          <x:t xml:space="preserve">Teams</x:t>
        </x:is>
      </x:c>
      <x:c r="C14" s="6" t="inlineStr">
        <x:is>
          <x:t xml:space="preserve">Draft a Teams post for the Region Atlas finance review channel: summarise the three biggest Q3 variances in GBP m, list open items (Southport Q4 FX rate basis - Treasury; Islemark P09 close - local finance; Eastvale volume recovery evidence - commercial finance) with owners and due dates as placeholders, and ask reviewers to confirm before the pack is issued. Do not state that the forecast is approved.</x:t>
        </x:is>
      </x:c>
      <x:c r="D14" s="6" t="inlineStr">
        <x:is>
          <x:t xml:space="preserve">Owners/placeholders; no approval claimed</x:t>
        </x:is>
      </x:c>
    </x:row>
  </x:sheetData>
  <x:pageMargins left="0.7" right="0.7" top="0.75" bottom="0.75" header="0.3" footer="0.3"/>
</x:worksheet>
</file>

<file path=docMetadata/LabelInfo.xml><?xml version="1.0" encoding="utf-8"?>
<clbl:labelList xmlns:clbl="http://schemas.microsoft.com/office/2020/mipLabelMetadata">
  <clbl:label id="{f42aa342-8706-4288-bd11-ebb85995028c}" enabled="1" method="Privileged" siteId="{72f988bf-86f1-41af-91ab-2d7cd011db47}" removed="0"/>
</clbl:labelList>
</file>