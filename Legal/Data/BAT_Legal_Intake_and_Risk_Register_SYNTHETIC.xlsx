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657ff18389894d17" /><Relationship Id="rId2" Type="http://schemas.microsoft.com/office/2020/02/relationships/classificationlabels" Target="docMetadata/LabelInfo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bd7dbd7d2e744b1"/>
    <x:sheet xmlns:r="http://schemas.openxmlformats.org/officeDocument/2006/relationships" name="Intake_Register" sheetId="2" r:id="R4605a023a13a483a"/>
    <x:sheet xmlns:r="http://schemas.openxmlformats.org/officeDocument/2006/relationships" name="Facilitator_Summary" sheetId="3" r:id="Rb282d90ec12c4caa"/>
    <x:sheet xmlns:r="http://schemas.openxmlformats.org/officeDocument/2006/relationships" name="Prompts" sheetId="4" r:id="R907c85a4809b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dd-mmm-yyyy"/>
    <x:numFmt numFmtId="166" formatCode="0.0%"/>
    <x:numFmt numFmtId="167" formatCode="0.0"/>
  </x:numFmts>
  <x:fonts count="6">
    <x:font>
      <x:sz val="11"/>
      <x:color theme="1"/>
      <x:name val="Calibri"/>
    </x:font>
    <x:font>
      <x:b/>
      <x:sz val="16"/>
      <x:color rgb="2F3640"/>
      <x:name val="Segoe UI"/>
    </x:font>
    <x:font>
      <x:sz val="10"/>
      <x:color rgb="666B7A"/>
      <x:name val="Segoe UI"/>
    </x:font>
    <x:font>
      <x:b/>
      <x:sz val="10"/>
      <x:color rgb="8A1C1C"/>
      <x:name val="Segoe UI"/>
    </x:font>
    <x:font>
      <x:b/>
      <x:color rgb="5B5FC7"/>
      <x:name val="Segoe UI"/>
    </x:font>
    <x:font>
      <x:b/>
      <x:color rgb="FFFFFF"/>
      <x:name val="Segoe UI"/>
    </x:font>
  </x:fonts>
  <x:fills count="4">
    <x:fill>
      <x:patternFill patternType="none"/>
    </x:fill>
    <x:fill>
      <x:patternFill patternType="gray125"/>
    </x:fill>
    <x:fill>
      <x:patternFill patternType="solid">
        <x:fgColor rgb="FDECEA"/>
      </x:patternFill>
    </x:fill>
    <x:fill>
      <x:patternFill patternType="solid">
        <x:fgColor rgb="5B5FC7"/>
      </x:patternFill>
    </x:fill>
  </x:fills>
  <x:borders count="2">
    <x:border/>
    <x:border>
      <x:left style="thin">
        <x:color rgb="C9CCE8"/>
      </x:left>
      <x:right style="thin">
        <x:color rgb="C9CCE8"/>
      </x:right>
      <x:top style="thin">
        <x:color rgb="C9CCE8"/>
      </x:top>
      <x:bottom style="thin">
        <x:color rgb="C9CC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2" borderId="0" xfId="0"/>
    <x:xf numFmtId="0" fontId="4" fillId="0" borderId="0" xfId="0"/>
    <x:xf numFmtId="0" fontId="0" fillId="0" borderId="0" xfId="0" applyAlignment="1">
      <x:alignment vertical="top" wrapText="1"/>
    </x:xf>
    <x:xf numFmtId="0" fontId="5" fillId="3" borderId="1" xfId="0" applyAlignment="1">
      <x:alignment vertical="center" wrapText="1"/>
    </x:xf>
    <x:xf numFmtId="0" fontId="0" fillId="0" borderId="1" xfId="0" applyAlignment="1">
      <x:alignment vertical="top" wrapText="1"/>
    </x:xf>
    <x:xf numFmtId="165" fontId="0" fillId="0" borderId="0" xfId="0"/>
    <x:xf numFmtId="166" fontId="4" fillId="0" borderId="1" xfId="0" applyAlignment="1">
      <x:alignment vertical="top" wrapText="1"/>
    </x:xf>
    <x:xf numFmtId="167" fontId="4" fillId="0" borderId="1" xfId="0" applyAlignment="1">
      <x:alignment vertical="top" wrapText="1"/>
    </x:xf>
    <x:xf numFmtId="1" fontId="4" fillId="0" borderId="1" xfId="0" applyAlignment="1">
      <x:alignment vertical="top" wrapText="1"/>
    </x:xf>
    <x:xf numFmtId="0" fontId="0" fillId="0" borderId="1" xfId="0"/>
    <x:xf numFmtId="166" fontId="0" fillId="0" borderId="1" xfId="0"/>
    <x:xf numFmtId="0" fontId="0" fillId="0" borderId="1" xfId="0" applyAlignment="1">
      <x:alignment wrapText="1"/>
    </x:xf>
    <x:xf numFmtId="167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942cd6824445c" /><Relationship Type="http://schemas.openxmlformats.org/officeDocument/2006/relationships/theme" Target="/xl/theme/theme1.xml" Id="R5e8b3c009aeb426f" /><Relationship Type="http://schemas.openxmlformats.org/officeDocument/2006/relationships/sharedStrings" Target="/xl/sharedStrings.xml" Id="R4121d3a1fd9a4aae" /><Relationship Type="http://schemas.openxmlformats.org/officeDocument/2006/relationships/worksheet" Target="/xl/worksheets/sheet1.xml" Id="Rbbd7dbd7d2e744b1" /><Relationship Type="http://schemas.openxmlformats.org/officeDocument/2006/relationships/worksheet" Target="/xl/worksheets/sheet2.xml" Id="R4605a023a13a483a" /><Relationship Type="http://schemas.openxmlformats.org/officeDocument/2006/relationships/worksheet" Target="/xl/worksheets/sheet3.xml" Id="Rb282d90ec12c4caa" /><Relationship Type="http://schemas.openxmlformats.org/officeDocument/2006/relationships/worksheet" Target="/xl/worksheets/sheet4.xml" Id="R907c85a4809b40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2d8ba39e9b495e" /><Relationship Type="http://schemas.openxmlformats.org/officeDocument/2006/relationships/chart" Target="/xl/drawings/charts/chart2.xml" Id="R40dd1773f54e40ff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AI-related share of intake by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'Facilitator_Summary'!E15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'Facilitator_Summary'!$B$16:$B$18</c:f>
              <c:strCache>
                <c:ptCount val="0"/>
              </c:strCache>
            </c:strRef>
          </c:cat>
          <c:val>
            <c:numRef>
              <c:f>'Facilitator_Summary'!$E$16:$E$18</c:f>
              <c:numCache>
                <c:formatCode>0%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Share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Major/Critical deviation rate by clause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'Facilitator_Summary'!E21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'Facilitator_Summary'!$B$22:$B$30</c:f>
              <c:strCache>
                <c:ptCount val="0"/>
              </c:strCache>
            </c:strRef>
          </c:cat>
          <c:val>
            <c:numRef>
              <c:f>'Facilitator_Summary'!$E$22:$E$30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10</xdr:row>
      <xdr:rowOff>0</xdr:rowOff>
    </xdr:from>
    <xdr:to>
      <xdr:col>6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2d8ba39e9b495e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dd1773f54e40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egalIntake" displayName="LegalIntake" ref="A5:X173" headerRowCount="1">
  <x:autoFilter ref="A5:X173"/>
  <x:tableColumns count="24">
    <x:tableColumn id="1" name="Request_ID"/>
    <x:tableColumn id="2" name="Date_Received"/>
    <x:tableColumn id="3" name="Quarter"/>
    <x:tableColumn id="4" name="Market"/>
    <x:tableColumn id="5" name="Region"/>
    <x:tableColumn id="6" name="Requesting_Function"/>
    <x:tableColumn id="7" name="Agreement_Type"/>
    <x:tableColumn id="8" name="Counterparty_Type"/>
    <x:tableColumn id="9" name="Counterparty_Fictional"/>
    <x:tableColumn id="10" name="Clause_Category"/>
    <x:tableColumn id="11" name="Deviation_Level"/>
    <x:tableColumn id="12" name="Data_Type"/>
    <x:tableColumn id="13" name="AI_Use"/>
    <x:tableColumn id="14" name="Jurisdiction_Flag"/>
    <x:tableColumn id="15" name="Likelihood_1to5"/>
    <x:tableColumn id="16" name="Impact_1to5"/>
    <x:tableColumn id="17" name="Risk_Score"/>
    <x:tableColumn id="18" name="Risk_Level"/>
    <x:tableColumn id="19" name="Owner_Team"/>
    <x:tableColumn id="20" name="Due_Date"/>
    <x:tableColumn id="21" name="Status"/>
    <x:tableColumn id="22" name="Escalated"/>
    <x:tableColumn id="23" name="Days_Open"/>
    <x:tableColumn id="24" name="Data_Classifica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5e51b2c2ad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9fca937b3fe4f8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  <x:col min="3" max="3" width="60" customWidth="1"/>
    <x:col min="4" max="4" width="10" customWidth="1"/>
  </x:cols>
  <x:sheetData>
    <x:row r="1">
      <x:c r="A1" s="1" t="inlineStr">
        <x:is>
          <x:t xml:space="preserve">BAT Legal Intake and Risk Register (SYNTHETIC)</x:t>
        </x:is>
      </x:c>
    </x:row>
    <x:row r="2">
      <x:c r="A2" s="2" t="inlineStr">
        <x:is>
          <x:t xml:space="preserve">BAT Legal Copilot CIE | Dataset for Excel exercise A1, demo and facilitator answer key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</x:row>
    <x:row r="5">
      <x:c r="A5" s="5" t="inlineStr">
        <x:is>
          <x:t xml:space="preserve">Purpose</x:t>
        </x:is>
      </x:c>
      <x:c r="B5" s="6" t="inlineStr">
        <x:is>
          <x:t xml:space="preserve">Fictional legal intake and contract/AI-use risk register used to practise Copilot in Excel analysis, issue spotting and risk briefing in the BAT Legal CIE session.</x:t>
        </x:is>
      </x:c>
    </x:row>
    <x:row r="6">
      <x:c r="A6" s="5" t="inlineStr">
        <x:is>
          <x:t xml:space="preserve">Classification</x:t>
        </x:is>
      </x:c>
      <x:c r="B6" s="6" t="inlineStr">
        <x:is>
          <x:t xml:space="preserve">Synthetic - CIE training only. All parties, requests, clauses and figures are fictional. No real BAT matters, counterparties, people or legal advice.</x:t>
        </x:is>
      </x:c>
    </x:row>
    <x:row r="7">
      <x:c r="A7" s="5" t="inlineStr">
        <x:is>
          <x:t xml:space="preserve">Records</x:t>
        </x:is>
      </x:c>
      <x:c r="B7" s="6" t="inlineStr">
        <x:is>
          <x:t xml:space="preserve">168 requests received 1 Jan - 30 Sep 2026 (Q1-Q3 2026), generated with fixed random seed 20261016.</x:t>
        </x:is>
      </x:c>
    </x:row>
    <x:row r="8">
      <x:c r="A8" s="5" t="inlineStr">
        <x:is>
          <x:t xml:space="preserve">As-of date</x:t>
        </x:is>
      </x:c>
      <x:c r="B8" s="6" t="inlineStr">
        <x:is>
          <x:t xml:space="preserve">Status, Days_Open and overdue calculations are as of 16 October 2026.</x:t>
        </x:is>
      </x:c>
    </x:row>
    <x:row r="9">
      <x:c r="A9" s="5" t="inlineStr">
        <x:is>
          <x:t xml:space="preserve">Risk scoring</x:t>
        </x:is>
      </x:c>
      <x:c r="B9" s="6" t="inlineStr">
        <x:is>
          <x:t xml:space="preserve">Risk_Score = Likelihood_1to5 x Impact_1to5. Bands (per BAT Legal Risk and Escalation Guide - SYNTHETIC): Low 1-5, Medium 6-11, High 12-15, Critical 16-25. Every Critical item must be escalated.</x:t>
        </x:is>
      </x:c>
    </x:row>
    <x:row r="10">
      <x:c r="A10" s="5" t="inlineStr">
        <x:is>
          <x:t xml:space="preserve">Deviation levels</x:t>
        </x:is>
      </x:c>
      <x:c r="B10" s="6" t="inlineStr">
        <x:is>
          <x:t xml:space="preserve">None = matches playbook standard; Minor = within approved fallback; Major = outside fallback (Legal Lead sign-off); Critical = red line (mandatory escalation).</x:t>
        </x:is>
      </x:c>
    </x:row>
    <x:row r="11">
      <x:c r="A11" s="5" t="inlineStr">
        <x:is>
          <x:t xml:space="preserve">Not a policy source</x:t>
        </x:is>
      </x:c>
      <x:c r="B11" s="6" t="inlineStr">
        <x:is>
          <x:t xml:space="preserve">Do NOT add this workbook to the agent as a policy knowledge source. Policy positions live in the four knowledge documents.</x:t>
        </x:is>
      </x:c>
    </x:row>
    <x:row r="12">
      <x:c r="A12" s="5" t="inlineStr">
        <x:is>
          <x:t xml:space="preserve">Sheets</x:t>
        </x:is>
      </x:c>
      <x:c r="B12" s="6" t="inlineStr">
        <x:is>
          <x:t xml:space="preserve">Intake_Register (raw data, Excel table "LegalIntake") | Facilitator_Summary (live formulas + answer key + charts) | Prompts (copy-ready Copilot prompts).</x:t>
        </x:is>
      </x:c>
    </x:row>
    <x:row r="14">
      <x:c r="A14" s="7" t="inlineStr">
        <x:is>
          <x:t xml:space="preserve">Column</x:t>
        </x:is>
      </x:c>
      <x:c r="B14" s="7" t="inlineStr">
        <x:is>
          <x:t xml:space="preserve">Description</x:t>
        </x:is>
      </x:c>
      <x:c r="C14" s="7" t="inlineStr">
        <x:is>
          <x:t xml:space="preserve">Example / allowed values</x:t>
        </x:is>
      </x:c>
    </x:row>
    <x:row r="15">
      <x:c r="A15" s="8" t="inlineStr">
        <x:is>
          <x:t xml:space="preserve">Request_ID</x:t>
        </x:is>
      </x:c>
      <x:c r="B15" s="8" t="inlineStr">
        <x:is>
          <x:t xml:space="preserve">Unique fictional intake reference</x:t>
        </x:is>
      </x:c>
      <x:c r="C15" s="8" t="inlineStr">
        <x:is>
          <x:t xml:space="preserve">LGL-26-0001</x:t>
        </x:is>
      </x:c>
    </x:row>
    <x:row r="16">
      <x:c r="A16" s="8" t="inlineStr">
        <x:is>
          <x:t xml:space="preserve">Date_Received</x:t>
        </x:is>
      </x:c>
      <x:c r="B16" s="8" t="inlineStr">
        <x:is>
          <x:t xml:space="preserve">Date the request reached the Legal Intake Desk</x:t>
        </x:is>
      </x:c>
      <x:c r="C16" s="8" t="inlineStr">
        <x:is>
          <x:t xml:space="preserve">2026-03-14</x:t>
        </x:is>
      </x:c>
    </x:row>
    <x:row r="17">
      <x:c r="A17" s="8" t="inlineStr">
        <x:is>
          <x:t xml:space="preserve">Quarter</x:t>
        </x:is>
      </x:c>
      <x:c r="B17" s="8" t="inlineStr">
        <x:is>
          <x:t xml:space="preserve">Quarter received</x:t>
        </x:is>
      </x:c>
      <x:c r="C17" s="8" t="inlineStr">
        <x:is>
          <x:t xml:space="preserve">Q1 2026 / Q2 2026 / Q3 2026</x:t>
        </x:is>
      </x:c>
    </x:row>
    <x:row r="18">
      <x:c r="A18" s="8" t="inlineStr">
        <x:is>
          <x:t xml:space="preserve">Market</x:t>
        </x:is>
      </x:c>
      <x:c r="B18" s="8" t="inlineStr">
        <x:is>
          <x:t xml:space="preserve">Requesting market (market-specific rules not covered - flag for Market Counsel)</x:t>
        </x:is>
      </x:c>
      <x:c r="C18" s="8" t="inlineStr">
        <x:is>
          <x:t xml:space="preserve">10 markets</x:t>
        </x:is>
      </x:c>
    </x:row>
    <x:row r="19">
      <x:c r="A19" s="8" t="inlineStr">
        <x:is>
          <x:t xml:space="preserve">Region</x:t>
        </x:is>
      </x:c>
      <x:c r="B19" s="8" t="inlineStr">
        <x:is>
          <x:t xml:space="preserve">Reporting region</x:t>
        </x:is>
      </x:c>
      <x:c r="C19" s="8" t="inlineStr">
        <x:is>
          <x:t xml:space="preserve">Europe / Americas / Asia-Pacific / Middle East &amp; Africa</x:t>
        </x:is>
      </x:c>
    </x:row>
    <x:row r="20">
      <x:c r="A20" s="8" t="inlineStr">
        <x:is>
          <x:t xml:space="preserve">Requesting_Function</x:t>
        </x:is>
      </x:c>
      <x:c r="B20" s="8" t="inlineStr">
        <x:is>
          <x:t xml:space="preserve">Business function raising the request</x:t>
        </x:is>
      </x:c>
      <x:c r="C20" s="8" t="inlineStr">
        <x:is>
          <x:t xml:space="preserve">Marketing, Digital &amp; IT, Procurement ...</x:t>
        </x:is>
      </x:c>
    </x:row>
    <x:row r="21">
      <x:c r="A21" s="8" t="inlineStr">
        <x:is>
          <x:t xml:space="preserve">Agreement_Type</x:t>
        </x:is>
      </x:c>
      <x:c r="B21" s="8" t="inlineStr">
        <x:is>
          <x:t xml:space="preserve">Type of agreement or request</x:t>
        </x:is>
      </x:c>
      <x:c r="C21" s="8" t="inlineStr">
        <x:is>
          <x:t xml:space="preserve">SaaS / Cloud services, Data sharing agreement, AI use request (internal) ...</x:t>
        </x:is>
      </x:c>
    </x:row>
    <x:row r="22">
      <x:c r="A22" s="8" t="inlineStr">
        <x:is>
          <x:t xml:space="preserve">Counterparty_Type</x:t>
        </x:is>
      </x:c>
      <x:c r="B22" s="8" t="inlineStr">
        <x:is>
          <x:t xml:space="preserve">Category of counterparty</x:t>
        </x:is>
      </x:c>
      <x:c r="C22" s="8" t="inlineStr">
        <x:is>
          <x:t xml:space="preserve">AI/analytics vendor, Technology vendor, Agency, Consultancy, Distributor, Internal</x:t>
        </x:is>
      </x:c>
    </x:row>
    <x:row r="23">
      <x:c r="A23" s="8" t="inlineStr">
        <x:is>
          <x:t xml:space="preserve">Counterparty_Fictional</x:t>
        </x:is>
      </x:c>
      <x:c r="B23" s="8" t="inlineStr">
        <x:is>
          <x:t xml:space="preserve">Fictional counterparty name (all names invented)</x:t>
        </x:is>
      </x:c>
      <x:c r="C23" s="8" t="inlineStr">
        <x:is>
          <x:t xml:space="preserve">Lumora Analytics Ltd (fictional)</x:t>
        </x:is>
      </x:c>
    </x:row>
    <x:row r="24">
      <x:c r="A24" s="8" t="inlineStr">
        <x:is>
          <x:t xml:space="preserve">Clause_Category</x:t>
        </x:is>
      </x:c>
      <x:c r="B24" s="8" t="inlineStr">
        <x:is>
          <x:t xml:space="preserve">Primary clause or issue flagged at triage</x:t>
        </x:is>
      </x:c>
      <x:c r="C24" s="8" t="inlineStr">
        <x:is>
          <x:t xml:space="preserve">Limitation of liability, Data use / model training, Sub-processors, Audit rights, IP in outputs, Termination, Confidentiality, Governing law, AI transparency</x:t>
        </x:is>
      </x:c>
    </x:row>
    <x:row r="25">
      <x:c r="A25" s="8" t="inlineStr">
        <x:is>
          <x:t xml:space="preserve">Deviation_Level</x:t>
        </x:is>
      </x:c>
      <x:c r="B25" s="8" t="inlineStr">
        <x:is>
          <x:t xml:space="preserve">Deviation from Contract Review Playbook position</x:t>
        </x:is>
      </x:c>
      <x:c r="C25" s="8" t="inlineStr">
        <x:is>
          <x:t xml:space="preserve">None / Minor / Major / Critical</x:t>
        </x:is>
      </x:c>
    </x:row>
    <x:row r="26">
      <x:c r="A26" s="8" t="inlineStr">
        <x:is>
          <x:t xml:space="preserve">Data_Type</x:t>
        </x:is>
      </x:c>
      <x:c r="B26" s="8" t="inlineStr">
        <x:is>
          <x:t xml:space="preserve">Most sensitive data in scope</x:t>
        </x:is>
      </x:c>
      <x:c r="C26" s="8" t="inlineStr">
        <x:is>
          <x:t xml:space="preserve">None / public, Business confidential, Personal data - employee, Personal data - consumer (adult)</x:t>
        </x:is>
      </x:c>
    </x:row>
    <x:row r="27">
      <x:c r="A27" s="8" t="inlineStr">
        <x:is>
          <x:t xml:space="preserve">AI_Use</x:t>
        </x:is>
      </x:c>
      <x:c r="B27" s="8" t="inlineStr">
        <x:is>
          <x:t xml:space="preserve">AI involvement in the service or request</x:t>
        </x:is>
      </x:c>
      <x:c r="C27" s="8" t="inlineStr">
        <x:is>
          <x:t xml:space="preserve">None, AI-enabled feature, Generative AI output, Model training on BAT data, Automated decision support</x:t>
        </x:is>
      </x:c>
    </x:row>
    <x:row r="28">
      <x:c r="A28" s="8" t="inlineStr">
        <x:is>
          <x:t xml:space="preserve">Jurisdiction_Flag</x:t>
        </x:is>
      </x:c>
      <x:c r="B28" s="8" t="inlineStr">
        <x:is>
          <x:t xml:space="preserve">Jurisdiction complexity - counsel to assess where flagged (no legal determination in this data)</x:t>
        </x:is>
      </x:c>
      <x:c r="C28" s="8" t="inlineStr">
        <x:is>
          <x:t xml:space="preserve">Single market, Cross-border data transfer, Multi-jurisdiction - counsel to assess, Emerging AI regulation - counsel to assess</x:t>
        </x:is>
      </x:c>
    </x:row>
    <x:row r="29">
      <x:c r="A29" s="8" t="inlineStr">
        <x:is>
          <x:t xml:space="preserve">Likelihood_1to5</x:t>
        </x:is>
      </x:c>
      <x:c r="B29" s="8" t="inlineStr">
        <x:is>
          <x:t xml:space="preserve">Triage likelihood score</x:t>
        </x:is>
      </x:c>
      <x:c r="C29" s="8" t="inlineStr">
        <x:is>
          <x:t xml:space="preserve">1-5</x:t>
        </x:is>
      </x:c>
    </x:row>
    <x:row r="30">
      <x:c r="A30" s="8" t="inlineStr">
        <x:is>
          <x:t xml:space="preserve">Impact_1to5</x:t>
        </x:is>
      </x:c>
      <x:c r="B30" s="8" t="inlineStr">
        <x:is>
          <x:t xml:space="preserve">Triage impact score</x:t>
        </x:is>
      </x:c>
      <x:c r="C30" s="8" t="inlineStr">
        <x:is>
          <x:t xml:space="preserve">1-5</x:t>
        </x:is>
      </x:c>
    </x:row>
    <x:row r="31">
      <x:c r="A31" s="8" t="inlineStr">
        <x:is>
          <x:t xml:space="preserve">Risk_Score</x:t>
        </x:is>
      </x:c>
      <x:c r="B31" s="8" t="inlineStr">
        <x:is>
          <x:t xml:space="preserve">Likelihood x Impact</x:t>
        </x:is>
      </x:c>
      <x:c r="C31" s="8" t="inlineStr">
        <x:is>
          <x:t xml:space="preserve">1-25</x:t>
        </x:is>
      </x:c>
    </x:row>
    <x:row r="32">
      <x:c r="A32" s="8" t="inlineStr">
        <x:is>
          <x:t xml:space="preserve">Risk_Level</x:t>
        </x:is>
      </x:c>
      <x:c r="B32" s="8" t="inlineStr">
        <x:is>
          <x:t xml:space="preserve">Band per Escalation Guide</x:t>
        </x:is>
      </x:c>
      <x:c r="C32" s="8" t="inlineStr">
        <x:is>
          <x:t xml:space="preserve">Low / Medium / High / Critical</x:t>
        </x:is>
      </x:c>
    </x:row>
    <x:row r="33">
      <x:c r="A33" s="8" t="inlineStr">
        <x:is>
          <x:t xml:space="preserve">Owner_Team</x:t>
        </x:is>
      </x:c>
      <x:c r="B33" s="8" t="inlineStr">
        <x:is>
          <x:t xml:space="preserve">Fictional owning team (no individuals)</x:t>
        </x:is>
      </x:c>
      <x:c r="C33" s="8" t="inlineStr">
        <x:is>
          <x:t xml:space="preserve">Commercial Legal, Digital &amp; Data Legal, Privacy Office, AI Governance Panel, Market Counsel</x:t>
        </x:is>
      </x:c>
    </x:row>
    <x:row r="34">
      <x:c r="A34" s="8" t="inlineStr">
        <x:is>
          <x:t xml:space="preserve">Due_Date</x:t>
        </x:is>
      </x:c>
      <x:c r="B34" s="8" t="inlineStr">
        <x:is>
          <x:t xml:space="preserve">Target completion date</x:t>
        </x:is>
      </x:c>
      <x:c r="C34" s="8" t="inlineStr">
        <x:is>
          <x:t xml:space="preserve">date</x:t>
        </x:is>
      </x:c>
    </x:row>
    <x:row r="35">
      <x:c r="A35" s="8" t="inlineStr">
        <x:is>
          <x:t xml:space="preserve">Status</x:t>
        </x:is>
      </x:c>
      <x:c r="B35" s="8" t="inlineStr">
        <x:is>
          <x:t xml:space="preserve">Workflow status at as-of date</x:t>
        </x:is>
      </x:c>
      <x:c r="C35" s="8" t="inlineStr">
        <x:is>
          <x:t xml:space="preserve">New, In triage, In review, Awaiting business info, Escalated, Closed</x:t>
        </x:is>
      </x:c>
    </x:row>
    <x:row r="36">
      <x:c r="A36" s="8" t="inlineStr">
        <x:is>
          <x:t xml:space="preserve">Escalated</x:t>
        </x:is>
      </x:c>
      <x:c r="B36" s="8" t="inlineStr">
        <x:is>
          <x:t xml:space="preserve">Has the item been escalated per the Escalation Guide?</x:t>
        </x:is>
      </x:c>
      <x:c r="C36" s="8" t="inlineStr">
        <x:is>
          <x:t xml:space="preserve">Yes / No</x:t>
        </x:is>
      </x:c>
    </x:row>
    <x:row r="37">
      <x:c r="A37" s="8" t="inlineStr">
        <x:is>
          <x:t xml:space="preserve">Days_Open</x:t>
        </x:is>
      </x:c>
      <x:c r="B37" s="8" t="inlineStr">
        <x:is>
          <x:t xml:space="preserve">Days from receipt to closure (Closed) or to 16 Oct 2026 (open)</x:t>
        </x:is>
      </x:c>
      <x:c r="C37" s="8" t="inlineStr">
        <x:is>
          <x:t xml:space="preserve">integer</x:t>
        </x:is>
      </x:c>
    </x:row>
    <x:row r="38">
      <x:c r="A38" s="8" t="inlineStr">
        <x:is>
          <x:t xml:space="preserve">Data_Classification</x:t>
        </x:is>
      </x:c>
      <x:c r="B38" s="8" t="inlineStr">
        <x:is>
          <x:t xml:space="preserve">Synthetic label</x:t>
        </x:is>
      </x:c>
      <x:c r="C38" s="8" t="inlineStr">
        <x:is>
          <x:t xml:space="preserve">Synthetic - CIE training only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3" customWidth="1"/>
    <x:col min="3" max="3" width="10" customWidth="1"/>
    <x:col min="4" max="4" width="15" customWidth="1"/>
    <x:col min="5" max="5" width="19" customWidth="1"/>
    <x:col min="6" max="6" width="18" customWidth="1"/>
    <x:col min="7" max="7" width="26" customWidth="1"/>
    <x:col min="8" max="8" width="24" customWidth="1"/>
    <x:col min="9" max="9" width="26" customWidth="1"/>
    <x:col min="10" max="10" width="25" customWidth="1"/>
    <x:col min="11" max="11" width="13" customWidth="1"/>
    <x:col min="12" max="12" width="30" customWidth="1"/>
    <x:col min="13" max="13" width="27" customWidth="1"/>
    <x:col min="14" max="14" width="38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22" customWidth="1"/>
    <x:col min="20" max="20" width="13" customWidth="1"/>
    <x:col min="21" max="21" width="22" customWidth="1"/>
    <x:col min="22" max="22" width="10" customWidth="1"/>
    <x:col min="23" max="23" width="10" customWidth="1"/>
    <x:col min="24" max="24" width="28" customWidth="1"/>
  </x:cols>
  <x:sheetData>
    <x:row r="1">
      <x:c r="A1" s="1" t="inlineStr">
        <x:is>
          <x:t xml:space="preserve">Intake_Register - fictional legal intake and risk register</x:t>
        </x:is>
      </x:c>
    </x:row>
    <x:row r="2">
      <x:c r="A2" s="2" t="inlineStr">
        <x:is>
          <x:t xml:space="preserve">168 synthetic requests | as of 16 Oct 2026 | Excel table name: LegalIntake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</x:row>
    <x:row r="5" ht="32" customHeight="1">
      <x:c r="A5" s="7" t="inlineStr">
        <x:is>
          <x:t xml:space="preserve">Request_ID</x:t>
        </x:is>
      </x:c>
      <x:c r="B5" s="7" t="inlineStr">
        <x:is>
          <x:t xml:space="preserve">Date_Received</x:t>
        </x:is>
      </x:c>
      <x:c r="C5" s="7" t="inlineStr">
        <x:is>
          <x:t xml:space="preserve">Quarter</x:t>
        </x:is>
      </x:c>
      <x:c r="D5" s="7" t="inlineStr">
        <x:is>
          <x:t xml:space="preserve">Market</x:t>
        </x:is>
      </x:c>
      <x:c r="E5" s="7" t="inlineStr">
        <x:is>
          <x:t xml:space="preserve">Region</x:t>
        </x:is>
      </x:c>
      <x:c r="F5" s="7" t="inlineStr">
        <x:is>
          <x:t xml:space="preserve">Requesting_Function</x:t>
        </x:is>
      </x:c>
      <x:c r="G5" s="7" t="inlineStr">
        <x:is>
          <x:t xml:space="preserve">Agreement_Type</x:t>
        </x:is>
      </x:c>
      <x:c r="H5" s="7" t="inlineStr">
        <x:is>
          <x:t xml:space="preserve">Counterparty_Type</x:t>
        </x:is>
      </x:c>
      <x:c r="I5" s="7" t="inlineStr">
        <x:is>
          <x:t xml:space="preserve">Counterparty_Fictional</x:t>
        </x:is>
      </x:c>
      <x:c r="J5" s="7" t="inlineStr">
        <x:is>
          <x:t xml:space="preserve">Clause_Category</x:t>
        </x:is>
      </x:c>
      <x:c r="K5" s="7" t="inlineStr">
        <x:is>
          <x:t xml:space="preserve">Deviation_Level</x:t>
        </x:is>
      </x:c>
      <x:c r="L5" s="7" t="inlineStr">
        <x:is>
          <x:t xml:space="preserve">Data_Type</x:t>
        </x:is>
      </x:c>
      <x:c r="M5" s="7" t="inlineStr">
        <x:is>
          <x:t xml:space="preserve">AI_Use</x:t>
        </x:is>
      </x:c>
      <x:c r="N5" s="7" t="inlineStr">
        <x:is>
          <x:t xml:space="preserve">Jurisdiction_Flag</x:t>
        </x:is>
      </x:c>
      <x:c r="O5" s="7" t="inlineStr">
        <x:is>
          <x:t xml:space="preserve">Likelihood_1to5</x:t>
        </x:is>
      </x:c>
      <x:c r="P5" s="7" t="inlineStr">
        <x:is>
          <x:t xml:space="preserve">Impact_1to5</x:t>
        </x:is>
      </x:c>
      <x:c r="Q5" s="7" t="inlineStr">
        <x:is>
          <x:t xml:space="preserve">Risk_Score</x:t>
        </x:is>
      </x:c>
      <x:c r="R5" s="7" t="inlineStr">
        <x:is>
          <x:t xml:space="preserve">Risk_Level</x:t>
        </x:is>
      </x:c>
      <x:c r="S5" s="7" t="inlineStr">
        <x:is>
          <x:t xml:space="preserve">Owner_Team</x:t>
        </x:is>
      </x:c>
      <x:c r="T5" s="7" t="inlineStr">
        <x:is>
          <x:t xml:space="preserve">Due_Date</x:t>
        </x:is>
      </x:c>
      <x:c r="U5" s="7" t="inlineStr">
        <x:is>
          <x:t xml:space="preserve">Status</x:t>
        </x:is>
      </x:c>
      <x:c r="V5" s="7" t="inlineStr">
        <x:is>
          <x:t xml:space="preserve">Escalated</x:t>
        </x:is>
      </x:c>
      <x:c r="W5" s="7" t="inlineStr">
        <x:is>
          <x:t xml:space="preserve">Days_Open</x:t>
        </x:is>
      </x:c>
      <x:c r="X5" s="7" t="inlineStr">
        <x:is>
          <x:t xml:space="preserve">Data_Classification</x:t>
        </x:is>
      </x:c>
    </x:row>
    <x:row r="6">
      <x:c r="A6" t="inlineStr">
        <x:is>
          <x:t xml:space="preserve">LGL-26-0001</x:t>
        </x:is>
      </x:c>
      <x:c r="B6" s="9" t="n">
        <x:v>46046</x:v>
      </x:c>
      <x:c r="C6" t="inlineStr">
        <x:is>
          <x:t xml:space="preserve">Q1 2026</x:t>
        </x:is>
      </x:c>
      <x:c r="D6" t="inlineStr">
        <x:is>
          <x:t xml:space="preserve">Poland</x:t>
        </x:is>
      </x:c>
      <x:c r="E6" t="inlineStr">
        <x:is>
          <x:t xml:space="preserve">Europe</x:t>
        </x:is>
      </x:c>
      <x:c r="F6" t="inlineStr">
        <x:is>
          <x:t xml:space="preserve">Corporate Affairs</x:t>
        </x:is>
      </x:c>
      <x:c r="G6" t="inlineStr">
        <x:is>
          <x:t xml:space="preserve">NDA</x:t>
        </x:is>
      </x:c>
      <x:c r="H6" t="inlineStr">
        <x:is>
          <x:t xml:space="preserve">Consultancy</x:t>
        </x:is>
      </x:c>
      <x:c r="I6" t="inlineStr">
        <x:is>
          <x:t xml:space="preserve">Oakhurst Consulting LLP</x:t>
        </x:is>
      </x:c>
      <x:c r="J6" t="inlineStr">
        <x:is>
          <x:t xml:space="preserve">Termination</x:t>
        </x:is>
      </x:c>
      <x:c r="K6" t="inlineStr">
        <x:is>
          <x:t xml:space="preserve">Minor</x:t>
        </x:is>
      </x:c>
      <x:c r="L6" t="inlineStr">
        <x:is>
          <x:t xml:space="preserve">Personal data - consumer (adult)</x:t>
        </x:is>
      </x:c>
      <x:c r="M6" t="inlineStr">
        <x:is>
          <x:t xml:space="preserve">None</x:t>
        </x:is>
      </x:c>
      <x:c r="N6" t="inlineStr">
        <x:is>
          <x:t xml:space="preserve">Single market</x:t>
        </x:is>
      </x:c>
      <x:c r="O6" t="n">
        <x:v>3</x:v>
      </x:c>
      <x:c r="P6" t="n">
        <x:v>3</x:v>
      </x:c>
      <x:c r="Q6" t="n">
        <x:v>9</x:v>
      </x:c>
      <x:c r="R6" t="inlineStr">
        <x:is>
          <x:t xml:space="preserve">Medium</x:t>
        </x:is>
      </x:c>
      <x:c r="S6" t="inlineStr">
        <x:is>
          <x:t xml:space="preserve">Commercial Legal</x:t>
        </x:is>
      </x:c>
      <x:c r="T6" s="9" t="n">
        <x:v>46062</x:v>
      </x:c>
      <x:c r="U6" t="inlineStr">
        <x:is>
          <x:t xml:space="preserve">Closed</x:t>
        </x:is>
      </x:c>
      <x:c r="V6" t="inlineStr">
        <x:is>
          <x:t xml:space="preserve">No</x:t>
        </x:is>
      </x:c>
      <x:c r="W6" t="n">
        <x:v>11</x:v>
      </x:c>
      <x:c r="X6" t="inlineStr">
        <x:is>
          <x:t xml:space="preserve">Synthetic - CIE training only</x:t>
        </x:is>
      </x:c>
    </x:row>
    <x:row r="7">
      <x:c r="A7" t="inlineStr">
        <x:is>
          <x:t xml:space="preserve">LGL-26-0002</x:t>
        </x:is>
      </x:c>
      <x:c r="B7" s="9" t="n">
        <x:v>46102</x:v>
      </x:c>
      <x:c r="C7" t="inlineStr">
        <x:is>
          <x:t xml:space="preserve">Q1 2026</x:t>
        </x:is>
      </x:c>
      <x:c r="D7" t="inlineStr">
        <x:is>
          <x:t xml:space="preserve">Kenya</x:t>
        </x:is>
      </x:c>
      <x:c r="E7" t="inlineStr">
        <x:is>
          <x:t xml:space="preserve">Middle East &amp; Africa</x:t>
        </x:is>
      </x:c>
      <x:c r="F7" t="inlineStr">
        <x:is>
          <x:t xml:space="preserve">HR</x:t>
        </x:is>
      </x:c>
      <x:c r="G7" t="inlineStr">
        <x:is>
          <x:t xml:space="preserve">NDA</x:t>
        </x:is>
      </x:c>
      <x:c r="H7" t="inlineStr">
        <x:is>
          <x:t xml:space="preserve">Consultancy</x:t>
        </x:is>
      </x:c>
      <x:c r="I7" t="inlineStr">
        <x:is>
          <x:t xml:space="preserve">Oakhurst Consulting LLP</x:t>
        </x:is>
      </x:c>
      <x:c r="J7" t="inlineStr">
        <x:is>
          <x:t xml:space="preserve">Audit rights</x:t>
        </x:is>
      </x:c>
      <x:c r="K7" t="inlineStr">
        <x:is>
          <x:t xml:space="preserve">Minor</x:t>
        </x:is>
      </x:c>
      <x:c r="L7" t="inlineStr">
        <x:is>
          <x:t xml:space="preserve">Business confidential</x:t>
        </x:is>
      </x:c>
      <x:c r="M7" t="inlineStr">
        <x:is>
          <x:t xml:space="preserve">None</x:t>
        </x:is>
      </x:c>
      <x:c r="N7" t="inlineStr">
        <x:is>
          <x:t xml:space="preserve">Single market</x:t>
        </x:is>
      </x:c>
      <x:c r="O7" t="n">
        <x:v>1</x:v>
      </x:c>
      <x:c r="P7" t="n">
        <x:v>1</x:v>
      </x:c>
      <x:c r="Q7" t="n">
        <x:v>1</x:v>
      </x:c>
      <x:c r="R7" t="inlineStr">
        <x:is>
          <x:t xml:space="preserve">Low</x:t>
        </x:is>
      </x:c>
      <x:c r="S7" t="inlineStr">
        <x:is>
          <x:t xml:space="preserve">Digital &amp; Data Legal</x:t>
        </x:is>
      </x:c>
      <x:c r="T7" s="9" t="n">
        <x:v>46122</x:v>
      </x:c>
      <x:c r="U7" t="inlineStr">
        <x:is>
          <x:t xml:space="preserve">Closed</x:t>
        </x:is>
      </x:c>
      <x:c r="V7" t="inlineStr">
        <x:is>
          <x:t xml:space="preserve">No</x:t>
        </x:is>
      </x:c>
      <x:c r="W7" t="n">
        <x:v>3</x:v>
      </x:c>
      <x:c r="X7" t="inlineStr">
        <x:is>
          <x:t xml:space="preserve">Synthetic - CIE training only</x:t>
        </x:is>
      </x:c>
    </x:row>
    <x:row r="8">
      <x:c r="A8" t="inlineStr">
        <x:is>
          <x:t xml:space="preserve">LGL-26-0003</x:t>
        </x:is>
      </x:c>
      <x:c r="B8" s="9" t="n">
        <x:v>46055</x:v>
      </x:c>
      <x:c r="C8" t="inlineStr">
        <x:is>
          <x:t xml:space="preserve">Q1 2026</x:t>
        </x:is>
      </x:c>
      <x:c r="D8" t="inlineStr">
        <x:is>
          <x:t xml:space="preserve">South Africa</x:t>
        </x:is>
      </x:c>
      <x:c r="E8" t="inlineStr">
        <x:is>
          <x:t xml:space="preserve">Middle East &amp; Africa</x:t>
        </x:is>
      </x:c>
      <x:c r="F8" t="inlineStr">
        <x:is>
          <x:t xml:space="preserve">Corporate Affairs</x:t>
        </x:is>
      </x:c>
      <x:c r="G8" t="inlineStr">
        <x:is>
          <x:t xml:space="preserve">Software licence</x:t>
        </x:is>
      </x:c>
      <x:c r="H8" t="inlineStr">
        <x:is>
          <x:t xml:space="preserve">Technology vendor</x:t>
        </x:is>
      </x:c>
      <x:c r="I8" t="inlineStr">
        <x:is>
          <x:t xml:space="preserve">Tessaro Systems BV</x:t>
        </x:is>
      </x:c>
      <x:c r="J8" t="inlineStr">
        <x:is>
          <x:t xml:space="preserve">Governing law</x:t>
        </x:is>
      </x:c>
      <x:c r="K8" t="inlineStr">
        <x:is>
          <x:t xml:space="preserve">Major</x:t>
        </x:is>
      </x:c>
      <x:c r="L8" t="inlineStr">
        <x:is>
          <x:t xml:space="preserve">Business confidential</x:t>
        </x:is>
      </x:c>
      <x:c r="M8" t="inlineStr">
        <x:is>
          <x:t xml:space="preserve">None</x:t>
        </x:is>
      </x:c>
      <x:c r="N8" t="inlineStr">
        <x:is>
          <x:t xml:space="preserve">Multi-jurisdiction - counsel to assess</x:t>
        </x:is>
      </x:c>
      <x:c r="O8" t="n">
        <x:v>3</x:v>
      </x:c>
      <x:c r="P8" t="n">
        <x:v>2</x:v>
      </x:c>
      <x:c r="Q8" t="n">
        <x:v>6</x:v>
      </x:c>
      <x:c r="R8" t="inlineStr">
        <x:is>
          <x:t xml:space="preserve">Medium</x:t>
        </x:is>
      </x:c>
      <x:c r="S8" t="inlineStr">
        <x:is>
          <x:t xml:space="preserve">Market Counsel</x:t>
        </x:is>
      </x:c>
      <x:c r="T8" s="9" t="n">
        <x:v>46074</x:v>
      </x:c>
      <x:c r="U8" t="inlineStr">
        <x:is>
          <x:t xml:space="preserve">Closed</x:t>
        </x:is>
      </x:c>
      <x:c r="V8" t="inlineStr">
        <x:is>
          <x:t xml:space="preserve">No</x:t>
        </x:is>
      </x:c>
      <x:c r="W8" t="n">
        <x:v>23</x:v>
      </x:c>
      <x:c r="X8" t="inlineStr">
        <x:is>
          <x:t xml:space="preserve">Synthetic - CIE training only</x:t>
        </x:is>
      </x:c>
    </x:row>
    <x:row r="9">
      <x:c r="A9" t="inlineStr">
        <x:is>
          <x:t xml:space="preserve">LGL-26-0004</x:t>
        </x:is>
      </x:c>
      <x:c r="B9" s="9" t="n">
        <x:v>46068</x:v>
      </x:c>
      <x:c r="C9" t="inlineStr">
        <x:is>
          <x:t xml:space="preserve">Q1 2026</x:t>
        </x:is>
      </x:c>
      <x:c r="D9" t="inlineStr">
        <x:is>
          <x:t xml:space="preserve">Brazil</x:t>
        </x:is>
      </x:c>
      <x:c r="E9" t="inlineStr">
        <x:is>
          <x:t xml:space="preserve">Americas</x:t>
        </x:is>
      </x:c>
      <x:c r="F9" t="inlineStr">
        <x:is>
          <x:t xml:space="preserve">Procurement</x:t>
        </x:is>
      </x:c>
      <x:c r="G9" t="inlineStr">
        <x:is>
          <x:t xml:space="preserve">SaaS / Cloud services</x:t>
        </x:is>
      </x:c>
      <x:c r="H9" t="inlineStr">
        <x:is>
          <x:t xml:space="preserve">Technology vendor</x:t>
        </x:is>
      </x:c>
      <x:c r="I9" t="inlineStr">
        <x:is>
          <x:t xml:space="preserve">Tessaro Systems BV</x:t>
        </x:is>
      </x:c>
      <x:c r="J9" t="inlineStr">
        <x:is>
          <x:t xml:space="preserve">Limitation of liability</x:t>
        </x:is>
      </x:c>
      <x:c r="K9" t="inlineStr">
        <x:is>
          <x:t xml:space="preserve">Minor</x:t>
        </x:is>
      </x:c>
      <x:c r="L9" t="inlineStr">
        <x:is>
          <x:t xml:space="preserve">Business confidential</x:t>
        </x:is>
      </x:c>
      <x:c r="M9" t="inlineStr">
        <x:is>
          <x:t xml:space="preserve">None</x:t>
        </x:is>
      </x:c>
      <x:c r="N9" t="inlineStr">
        <x:is>
          <x:t xml:space="preserve">Single market</x:t>
        </x:is>
      </x:c>
      <x:c r="O9" t="n">
        <x:v>2</x:v>
      </x:c>
      <x:c r="P9" t="n">
        <x:v>2</x:v>
      </x:c>
      <x:c r="Q9" t="n">
        <x:v>4</x:v>
      </x:c>
      <x:c r="R9" t="inlineStr">
        <x:is>
          <x:t xml:space="preserve">Low</x:t>
        </x:is>
      </x:c>
      <x:c r="S9" t="inlineStr">
        <x:is>
          <x:t xml:space="preserve">Commercial Legal</x:t>
        </x:is>
      </x:c>
      <x:c r="T9" s="9" t="n">
        <x:v>46088</x:v>
      </x:c>
      <x:c r="U9" t="inlineStr">
        <x:is>
          <x:t xml:space="preserve">Awaiting business info</x:t>
        </x:is>
      </x:c>
      <x:c r="V9" t="inlineStr">
        <x:is>
          <x:t xml:space="preserve">No</x:t>
        </x:is>
      </x:c>
      <x:c r="W9" t="n">
        <x:v>243</x:v>
      </x:c>
      <x:c r="X9" t="inlineStr">
        <x:is>
          <x:t xml:space="preserve">Synthetic - CIE training only</x:t>
        </x:is>
      </x:c>
    </x:row>
    <x:row r="10">
      <x:c r="A10" t="inlineStr">
        <x:is>
          <x:t xml:space="preserve">LGL-26-0005</x:t>
        </x:is>
      </x:c>
      <x:c r="B10" s="9" t="n">
        <x:v>46040</x:v>
      </x:c>
      <x:c r="C10" t="inlineStr">
        <x:is>
          <x:t xml:space="preserve">Q1 2026</x:t>
        </x:is>
      </x:c>
      <x:c r="D10" t="inlineStr">
        <x:is>
          <x:t xml:space="preserve">Poland</x:t>
        </x:is>
      </x:c>
      <x:c r="E10" t="inlineStr">
        <x:is>
          <x:t xml:space="preserve">Europe</x:t>
        </x:is>
      </x:c>
      <x:c r="F10" t="inlineStr">
        <x:is>
          <x:t xml:space="preserve">HR</x:t>
        </x:is>
      </x:c>
      <x:c r="G10" t="inlineStr">
        <x:is>
          <x:t xml:space="preserve">Professional services</x:t>
        </x:is>
      </x:c>
      <x:c r="H10" t="inlineStr">
        <x:is>
          <x:t xml:space="preserve">Technology vendor</x:t>
        </x:is>
      </x:c>
      <x:c r="I10" t="inlineStr">
        <x:is>
          <x:t xml:space="preserve">Arcbridge Cloud Ltd</x:t>
        </x:is>
      </x:c>
      <x:c r="J10" t="inlineStr">
        <x:is>
          <x:t xml:space="preserve">Governing law</x:t>
        </x:is>
      </x:c>
      <x:c r="K10" t="inlineStr">
        <x:is>
          <x:t xml:space="preserve">Minor</x:t>
        </x:is>
      </x:c>
      <x:c r="L10" t="inlineStr">
        <x:is>
          <x:t xml:space="preserve">Business confidential</x:t>
        </x:is>
      </x:c>
      <x:c r="M10" t="inlineStr">
        <x:is>
          <x:t xml:space="preserve">None</x:t>
        </x:is>
      </x:c>
      <x:c r="N10" t="inlineStr">
        <x:is>
          <x:t xml:space="preserve">Single market</x:t>
        </x:is>
      </x:c>
      <x:c r="O10" t="n">
        <x:v>3</x:v>
      </x:c>
      <x:c r="P10" t="n">
        <x:v>3</x:v>
      </x:c>
      <x:c r="Q10" t="n">
        <x:v>9</x:v>
      </x:c>
      <x:c r="R10" t="inlineStr">
        <x:is>
          <x:t xml:space="preserve">Medium</x:t>
        </x:is>
      </x:c>
      <x:c r="S10" t="inlineStr">
        <x:is>
          <x:t xml:space="preserve">Market Counsel</x:t>
        </x:is>
      </x:c>
      <x:c r="T10" s="9" t="n">
        <x:v>46056</x:v>
      </x:c>
      <x:c r="U10" t="inlineStr">
        <x:is>
          <x:t xml:space="preserve">Closed</x:t>
        </x:is>
      </x:c>
      <x:c r="V10" t="inlineStr">
        <x:is>
          <x:t xml:space="preserve">No</x:t>
        </x:is>
      </x:c>
      <x:c r="W10" t="n">
        <x:v>2</x:v>
      </x:c>
      <x:c r="X10" t="inlineStr">
        <x:is>
          <x:t xml:space="preserve">Synthetic - CIE training only</x:t>
        </x:is>
      </x:c>
    </x:row>
    <x:row r="11">
      <x:c r="A11" t="inlineStr">
        <x:is>
          <x:t xml:space="preserve">LGL-26-0006</x:t>
        </x:is>
      </x:c>
      <x:c r="B11" s="9" t="n">
        <x:v>46027</x:v>
      </x:c>
      <x:c r="C11" t="inlineStr">
        <x:is>
          <x:t xml:space="preserve">Q1 2026</x:t>
        </x:is>
      </x:c>
      <x:c r="D11" t="inlineStr">
        <x:is>
          <x:t xml:space="preserve">Indonesia</x:t>
        </x:is>
      </x:c>
      <x:c r="E11" t="inlineStr">
        <x:is>
          <x:t xml:space="preserve">Asia-Pacific</x:t>
        </x:is>
      </x:c>
      <x:c r="F11" t="inlineStr">
        <x:is>
          <x:t xml:space="preserve">Procurement</x:t>
        </x:is>
      </x:c>
      <x:c r="G11" t="inlineStr">
        <x:is>
          <x:t xml:space="preserve">NDA</x:t>
        </x:is>
      </x:c>
      <x:c r="H11" t="inlineStr">
        <x:is>
          <x:t xml:space="preserve">Distributor</x:t>
        </x:is>
      </x:c>
      <x:c r="I11" t="inlineStr">
        <x:is>
          <x:t xml:space="preserve">Tidewater Logistics Co</x:t>
        </x:is>
      </x:c>
      <x:c r="J11" t="inlineStr">
        <x:is>
          <x:t xml:space="preserve">Confidentiality</x:t>
        </x:is>
      </x:c>
      <x:c r="K11" t="inlineStr">
        <x:is>
          <x:t xml:space="preserve">Major</x:t>
        </x:is>
      </x:c>
      <x:c r="L11" t="inlineStr">
        <x:is>
          <x:t xml:space="preserve">None / public</x:t>
        </x:is>
      </x:c>
      <x:c r="M11" t="inlineStr">
        <x:is>
          <x:t xml:space="preserve">None</x:t>
        </x:is>
      </x:c>
      <x:c r="N11" t="inlineStr">
        <x:is>
          <x:t xml:space="preserve">Single market</x:t>
        </x:is>
      </x:c>
      <x:c r="O11" t="n">
        <x:v>3</x:v>
      </x:c>
      <x:c r="P11" t="n">
        <x:v>1</x:v>
      </x:c>
      <x:c r="Q11" t="n">
        <x:v>3</x:v>
      </x:c>
      <x:c r="R11" t="inlineStr">
        <x:is>
          <x:t xml:space="preserve">Low</x:t>
        </x:is>
      </x:c>
      <x:c r="S11" t="inlineStr">
        <x:is>
          <x:t xml:space="preserve">Commercial Legal</x:t>
        </x:is>
      </x:c>
      <x:c r="T11" s="9" t="n">
        <x:v>46050</x:v>
      </x:c>
      <x:c r="U11" t="inlineStr">
        <x:is>
          <x:t xml:space="preserve">Closed</x:t>
        </x:is>
      </x:c>
      <x:c r="V11" t="inlineStr">
        <x:is>
          <x:t xml:space="preserve">No</x:t>
        </x:is>
      </x:c>
      <x:c r="W11" t="n">
        <x:v>14</x:v>
      </x:c>
      <x:c r="X11" t="inlineStr">
        <x:is>
          <x:t xml:space="preserve">Synthetic - CIE training only</x:t>
        </x:is>
      </x:c>
    </x:row>
    <x:row r="12">
      <x:c r="A12" t="inlineStr">
        <x:is>
          <x:t xml:space="preserve">LGL-26-0007</x:t>
        </x:is>
      </x:c>
      <x:c r="B12" s="9" t="n">
        <x:v>46102</x:v>
      </x:c>
      <x:c r="C12" t="inlineStr">
        <x:is>
          <x:t xml:space="preserve">Q1 2026</x:t>
        </x:is>
      </x:c>
      <x:c r="D12" t="inlineStr">
        <x:is>
          <x:t xml:space="preserve">South Africa</x:t>
        </x:is>
      </x:c>
      <x:c r="E12" t="inlineStr">
        <x:is>
          <x:t xml:space="preserve">Middle East &amp; Africa</x:t>
        </x:is>
      </x:c>
      <x:c r="F12" t="inlineStr">
        <x:is>
          <x:t xml:space="preserve">Marketing</x:t>
        </x:is>
      </x:c>
      <x:c r="G12" t="inlineStr">
        <x:is>
          <x:t xml:space="preserve">NDA</x:t>
        </x:is>
      </x:c>
      <x:c r="H12" t="inlineStr">
        <x:is>
          <x:t xml:space="preserve">Distributor</x:t>
        </x:is>
      </x:c>
      <x:c r="I12" t="inlineStr">
        <x:is>
          <x:t xml:space="preserve">Granite Coast Distribution</x:t>
        </x:is>
      </x:c>
      <x:c r="J12" t="inlineStr">
        <x:is>
          <x:t xml:space="preserve">Confidentiality</x:t>
        </x:is>
      </x:c>
      <x:c r="K12" t="inlineStr">
        <x:is>
          <x:t xml:space="preserve">None</x:t>
        </x:is>
      </x:c>
      <x:c r="L12" t="inlineStr">
        <x:is>
          <x:t xml:space="preserve">Business confidential</x:t>
        </x:is>
      </x:c>
      <x:c r="M12" t="inlineStr">
        <x:is>
          <x:t xml:space="preserve">None</x:t>
        </x:is>
      </x:c>
      <x:c r="N12" t="inlineStr">
        <x:is>
          <x:t xml:space="preserve">Single market</x:t>
        </x:is>
      </x:c>
      <x:c r="O12" t="n">
        <x:v>1</x:v>
      </x:c>
      <x:c r="P12" t="n">
        <x:v>2</x:v>
      </x:c>
      <x:c r="Q12" t="n">
        <x:v>2</x:v>
      </x:c>
      <x:c r="R12" t="inlineStr">
        <x:is>
          <x:t xml:space="preserve">Low</x:t>
        </x:is>
      </x:c>
      <x:c r="S12" t="inlineStr">
        <x:is>
          <x:t xml:space="preserve">Commercial Legal</x:t>
        </x:is>
      </x:c>
      <x:c r="T12" s="9" t="n">
        <x:v>46323</x:v>
      </x:c>
      <x:c r="U12" t="inlineStr">
        <x:is>
          <x:t xml:space="preserve">In review</x:t>
        </x:is>
      </x:c>
      <x:c r="V12" t="inlineStr">
        <x:is>
          <x:t xml:space="preserve">No</x:t>
        </x:is>
      </x:c>
      <x:c r="W12" t="n">
        <x:v>209</x:v>
      </x:c>
      <x:c r="X12" t="inlineStr">
        <x:is>
          <x:t xml:space="preserve">Synthetic - CIE training only</x:t>
        </x:is>
      </x:c>
    </x:row>
    <x:row r="13">
      <x:c r="A13" t="inlineStr">
        <x:is>
          <x:t xml:space="preserve">LGL-26-0008</x:t>
        </x:is>
      </x:c>
      <x:c r="B13" s="9" t="n">
        <x:v>46036</x:v>
      </x:c>
      <x:c r="C13" t="inlineStr">
        <x:is>
          <x:t xml:space="preserve">Q1 2026</x:t>
        </x:is>
      </x:c>
      <x:c r="D13" t="inlineStr">
        <x:is>
          <x:t xml:space="preserve">South Africa</x:t>
        </x:is>
      </x:c>
      <x:c r="E13" t="inlineStr">
        <x:is>
          <x:t xml:space="preserve">Middle East &amp; Africa</x:t>
        </x:is>
      </x:c>
      <x:c r="F13" t="inlineStr">
        <x:is>
          <x:t xml:space="preserve">Procurement</x:t>
        </x:is>
      </x:c>
      <x:c r="G13" t="inlineStr">
        <x:is>
          <x:t xml:space="preserve">AI use request (internal)</x:t>
        </x:is>
      </x:c>
      <x:c r="H13" t="inlineStr">
        <x:is>
          <x:t xml:space="preserve">Internal (no counterparty)</x:t>
        </x:is>
      </x:c>
      <x:c r="I13" t="inlineStr">
        <x:is>
          <x:t xml:space="preserve">Internal request</x:t>
        </x:is>
      </x:c>
      <x:c r="J13" t="inlineStr">
        <x:is>
          <x:t xml:space="preserve">IP in outputs</x:t>
        </x:is>
      </x:c>
      <x:c r="K13" t="inlineStr">
        <x:is>
          <x:t xml:space="preserve">Minor</x:t>
        </x:is>
      </x:c>
      <x:c r="L13" t="inlineStr">
        <x:is>
          <x:t xml:space="preserve">Personal data - consumer (adult)</x:t>
        </x:is>
      </x:c>
      <x:c r="M13" t="inlineStr">
        <x:is>
          <x:t xml:space="preserve">Generative AI output</x:t>
        </x:is>
      </x:c>
      <x:c r="N13" t="inlineStr">
        <x:is>
          <x:t xml:space="preserve">Cross-border data transfer</x:t>
        </x:is>
      </x:c>
      <x:c r="O13" t="n">
        <x:v>2</x:v>
      </x:c>
      <x:c r="P13" t="n">
        <x:v>3</x:v>
      </x:c>
      <x:c r="Q13" t="n">
        <x:v>6</x:v>
      </x:c>
      <x:c r="R13" t="inlineStr">
        <x:is>
          <x:t xml:space="preserve">Medium</x:t>
        </x:is>
      </x:c>
      <x:c r="S13" t="inlineStr">
        <x:is>
          <x:t xml:space="preserve">Digital &amp; Data Legal</x:t>
        </x:is>
      </x:c>
      <x:c r="T13" s="9" t="n">
        <x:v>46051</x:v>
      </x:c>
      <x:c r="U13" t="inlineStr">
        <x:is>
          <x:t xml:space="preserve">Closed</x:t>
        </x:is>
      </x:c>
      <x:c r="V13" t="inlineStr">
        <x:is>
          <x:t xml:space="preserve">No</x:t>
        </x:is>
      </x:c>
      <x:c r="W13" t="n">
        <x:v>10</x:v>
      </x:c>
      <x:c r="X13" t="inlineStr">
        <x:is>
          <x:t xml:space="preserve">Synthetic - CIE training only</x:t>
        </x:is>
      </x:c>
    </x:row>
    <x:row r="14">
      <x:c r="A14" t="inlineStr">
        <x:is>
          <x:t xml:space="preserve">LGL-26-0009</x:t>
        </x:is>
      </x:c>
      <x:c r="B14" s="9" t="n">
        <x:v>46087</x:v>
      </x:c>
      <x:c r="C14" t="inlineStr">
        <x:is>
          <x:t xml:space="preserve">Q1 2026</x:t>
        </x:is>
      </x:c>
      <x:c r="D14" t="inlineStr">
        <x:is>
          <x:t xml:space="preserve">Kenya</x:t>
        </x:is>
      </x:c>
      <x:c r="E14" t="inlineStr">
        <x:is>
          <x:t xml:space="preserve">Middle East &amp; Africa</x:t>
        </x:is>
      </x:c>
      <x:c r="F14" t="inlineStr">
        <x:is>
          <x:t xml:space="preserve">HR</x:t>
        </x:is>
      </x:c>
      <x:c r="G14" t="inlineStr">
        <x:is>
          <x:t xml:space="preserve">NDA</x:t>
        </x:is>
      </x:c>
      <x:c r="H14" t="inlineStr">
        <x:is>
          <x:t xml:space="preserve">Consultancy</x:t>
        </x:is>
      </x:c>
      <x:c r="I14" t="inlineStr">
        <x:is>
          <x:t xml:space="preserve">Meridian Ridge Advisory</x:t>
        </x:is>
      </x:c>
      <x:c r="J14" t="inlineStr">
        <x:is>
          <x:t xml:space="preserve">Confidentiality</x:t>
        </x:is>
      </x:c>
      <x:c r="K14" t="inlineStr">
        <x:is>
          <x:t xml:space="preserve">Minor</x:t>
        </x:is>
      </x:c>
      <x:c r="L14" t="inlineStr">
        <x:is>
          <x:t xml:space="preserve">Personal data - consumer (adult)</x:t>
        </x:is>
      </x:c>
      <x:c r="M14" t="inlineStr">
        <x:is>
          <x:t xml:space="preserve">None</x:t>
        </x:is>
      </x:c>
      <x:c r="N14" t="inlineStr">
        <x:is>
          <x:t xml:space="preserve">Single market</x:t>
        </x:is>
      </x:c>
      <x:c r="O14" t="n">
        <x:v>3</x:v>
      </x:c>
      <x:c r="P14" t="n">
        <x:v>3</x:v>
      </x:c>
      <x:c r="Q14" t="n">
        <x:v>9</x:v>
      </x:c>
      <x:c r="R14" t="inlineStr">
        <x:is>
          <x:t xml:space="preserve">Medium</x:t>
        </x:is>
      </x:c>
      <x:c r="S14" t="inlineStr">
        <x:is>
          <x:t xml:space="preserve">Commercial Legal</x:t>
        </x:is>
      </x:c>
      <x:c r="T14" s="9" t="n">
        <x:v>46106</x:v>
      </x:c>
      <x:c r="U14" t="inlineStr">
        <x:is>
          <x:t xml:space="preserve">Closed</x:t>
        </x:is>
      </x:c>
      <x:c r="V14" t="inlineStr">
        <x:is>
          <x:t xml:space="preserve">No</x:t>
        </x:is>
      </x:c>
      <x:c r="W14" t="n">
        <x:v>6</x:v>
      </x:c>
      <x:c r="X14" t="inlineStr">
        <x:is>
          <x:t xml:space="preserve">Synthetic - CIE training only</x:t>
        </x:is>
      </x:c>
    </x:row>
    <x:row r="15">
      <x:c r="A15" t="inlineStr">
        <x:is>
          <x:t xml:space="preserve">LGL-26-0010</x:t>
        </x:is>
      </x:c>
      <x:c r="B15" s="9" t="n">
        <x:v>46044</x:v>
      </x:c>
      <x:c r="C15" t="inlineStr">
        <x:is>
          <x:t xml:space="preserve">Q1 2026</x:t>
        </x:is>
      </x:c>
      <x:c r="D15" t="inlineStr">
        <x:is>
          <x:t xml:space="preserve">Poland</x:t>
        </x:is>
      </x:c>
      <x:c r="E15" t="inlineStr">
        <x:is>
          <x:t xml:space="preserve">Europe</x:t>
        </x:is>
      </x:c>
      <x:c r="F15" t="inlineStr">
        <x:is>
          <x:t xml:space="preserve">Finance</x:t>
        </x:is>
      </x:c>
      <x:c r="G15" t="inlineStr">
        <x:is>
          <x:t xml:space="preserve">Professional services</x:t>
        </x:is>
      </x:c>
      <x:c r="H15" t="inlineStr">
        <x:is>
          <x:t xml:space="preserve">Technology vendor</x:t>
        </x:is>
      </x:c>
      <x:c r="I15" t="inlineStr">
        <x:is>
          <x:t xml:space="preserve">Arcbridge Cloud Ltd</x:t>
        </x:is>
      </x:c>
      <x:c r="J15" t="inlineStr">
        <x:is>
          <x:t xml:space="preserve">Governing law</x:t>
        </x:is>
      </x:c>
      <x:c r="K15" t="inlineStr">
        <x:is>
          <x:t xml:space="preserve">None</x:t>
        </x:is>
      </x:c>
      <x:c r="L15" t="inlineStr">
        <x:is>
          <x:t xml:space="preserve">Personal data - employee</x:t>
        </x:is>
      </x:c>
      <x:c r="M15" t="inlineStr">
        <x:is>
          <x:t xml:space="preserve">None</x:t>
        </x:is>
      </x:c>
      <x:c r="N15" t="inlineStr">
        <x:is>
          <x:t xml:space="preserve">Cross-border data transfer</x:t>
        </x:is>
      </x:c>
      <x:c r="O15" t="n">
        <x:v>2</x:v>
      </x:c>
      <x:c r="P15" t="n">
        <x:v>4</x:v>
      </x:c>
      <x:c r="Q15" t="n">
        <x:v>8</x:v>
      </x:c>
      <x:c r="R15" t="inlineStr">
        <x:is>
          <x:t xml:space="preserve">Medium</x:t>
        </x:is>
      </x:c>
      <x:c r="S15" t="inlineStr">
        <x:is>
          <x:t xml:space="preserve">Market Counsel</x:t>
        </x:is>
      </x:c>
      <x:c r="T15" s="9" t="n">
        <x:v>46061</x:v>
      </x:c>
      <x:c r="U15" t="inlineStr">
        <x:is>
          <x:t xml:space="preserve">Closed</x:t>
        </x:is>
      </x:c>
      <x:c r="V15" t="inlineStr">
        <x:is>
          <x:t xml:space="preserve">No</x:t>
        </x:is>
      </x:c>
      <x:c r="W15" t="n">
        <x:v>15</x:v>
      </x:c>
      <x:c r="X15" t="inlineStr">
        <x:is>
          <x:t xml:space="preserve">Synthetic - CIE training only</x:t>
        </x:is>
      </x:c>
    </x:row>
    <x:row r="16">
      <x:c r="A16" t="inlineStr">
        <x:is>
          <x:t xml:space="preserve">LGL-26-0011</x:t>
        </x:is>
      </x:c>
      <x:c r="B16" s="9" t="n">
        <x:v>46071</x:v>
      </x:c>
      <x:c r="C16" t="inlineStr">
        <x:is>
          <x:t xml:space="preserve">Q1 2026</x:t>
        </x:is>
      </x:c>
      <x:c r="D16" t="inlineStr">
        <x:is>
          <x:t xml:space="preserve">Poland</x:t>
        </x:is>
      </x:c>
      <x:c r="E16" t="inlineStr">
        <x:is>
          <x:t xml:space="preserve">Europe</x:t>
        </x:is>
      </x:c>
      <x:c r="F16" t="inlineStr">
        <x:is>
          <x:t xml:space="preserve">HR</x:t>
        </x:is>
      </x:c>
      <x:c r="G16" t="inlineStr">
        <x:is>
          <x:t xml:space="preserve">NDA</x:t>
        </x:is>
      </x:c>
      <x:c r="H16" t="inlineStr">
        <x:is>
          <x:t xml:space="preserve">Distributor</x:t>
        </x:is>
      </x:c>
      <x:c r="I16" t="inlineStr">
        <x:is>
          <x:t xml:space="preserve">Granite Coast Distribution</x:t>
        </x:is>
      </x:c>
      <x:c r="J16" t="inlineStr">
        <x:is>
          <x:t xml:space="preserve">Confidentiality</x:t>
        </x:is>
      </x:c>
      <x:c r="K16" t="inlineStr">
        <x:is>
          <x:t xml:space="preserve">None</x:t>
        </x:is>
      </x:c>
      <x:c r="L16" t="inlineStr">
        <x:is>
          <x:t xml:space="preserve">Business confidential</x:t>
        </x:is>
      </x:c>
      <x:c r="M16" t="inlineStr">
        <x:is>
          <x:t xml:space="preserve">None</x:t>
        </x:is>
      </x:c>
      <x:c r="N16" t="inlineStr">
        <x:is>
          <x:t xml:space="preserve">Multi-jurisdiction - counsel to assess</x:t>
        </x:is>
      </x:c>
      <x:c r="O16" t="n">
        <x:v>2</x:v>
      </x:c>
      <x:c r="P16" t="n">
        <x:v>1</x:v>
      </x:c>
      <x:c r="Q16" t="n">
        <x:v>2</x:v>
      </x:c>
      <x:c r="R16" t="inlineStr">
        <x:is>
          <x:t xml:space="preserve">Low</x:t>
        </x:is>
      </x:c>
      <x:c r="S16" t="inlineStr">
        <x:is>
          <x:t xml:space="preserve">Commercial Legal</x:t>
        </x:is>
      </x:c>
      <x:c r="T16" s="9" t="n">
        <x:v>46093</x:v>
      </x:c>
      <x:c r="U16" t="inlineStr">
        <x:is>
          <x:t xml:space="preserve">Closed</x:t>
        </x:is>
      </x:c>
      <x:c r="V16" t="inlineStr">
        <x:is>
          <x:t xml:space="preserve">No</x:t>
        </x:is>
      </x:c>
      <x:c r="W16" t="n">
        <x:v>25</x:v>
      </x:c>
      <x:c r="X16" t="inlineStr">
        <x:is>
          <x:t xml:space="preserve">Synthetic - CIE training only</x:t>
        </x:is>
      </x:c>
    </x:row>
    <x:row r="17">
      <x:c r="A17" t="inlineStr">
        <x:is>
          <x:t xml:space="preserve">LGL-26-0012</x:t>
        </x:is>
      </x:c>
      <x:c r="B17" s="9" t="n">
        <x:v>46057</x:v>
      </x:c>
      <x:c r="C17" t="inlineStr">
        <x:is>
          <x:t xml:space="preserve">Q1 2026</x:t>
        </x:is>
      </x:c>
      <x:c r="D17" t="inlineStr">
        <x:is>
          <x:t xml:space="preserve">Japan</x:t>
        </x:is>
      </x:c>
      <x:c r="E17" t="inlineStr">
        <x:is>
          <x:t xml:space="preserve">Asia-Pacific</x:t>
        </x:is>
      </x:c>
      <x:c r="F17" t="inlineStr">
        <x:is>
          <x:t xml:space="preserve">Corporate Affairs</x:t>
        </x:is>
      </x:c>
      <x:c r="G17" t="inlineStr">
        <x:is>
          <x:t xml:space="preserve">SaaS / Cloud services</x:t>
        </x:is>
      </x:c>
      <x:c r="H17" t="inlineStr">
        <x:is>
          <x:t xml:space="preserve">Technology vendor</x:t>
        </x:is>
      </x:c>
      <x:c r="I17" t="inlineStr">
        <x:is>
          <x:t xml:space="preserve">Tessaro Systems BV</x:t>
        </x:is>
      </x:c>
      <x:c r="J17" t="inlineStr">
        <x:is>
          <x:t xml:space="preserve">Sub-processors</x:t>
        </x:is>
      </x:c>
      <x:c r="K17" t="inlineStr">
        <x:is>
          <x:t xml:space="preserve">None</x:t>
        </x:is>
      </x:c>
      <x:c r="L17" t="inlineStr">
        <x:is>
          <x:t xml:space="preserve">Personal data - employee</x:t>
        </x:is>
      </x:c>
      <x:c r="M17" t="inlineStr">
        <x:is>
          <x:t xml:space="preserve">None</x:t>
        </x:is>
      </x:c>
      <x:c r="N17" t="inlineStr">
        <x:is>
          <x:t xml:space="preserve">Single market</x:t>
        </x:is>
      </x:c>
      <x:c r="O17" t="n">
        <x:v>1</x:v>
      </x:c>
      <x:c r="P17" t="n">
        <x:v>3</x:v>
      </x:c>
      <x:c r="Q17" t="n">
        <x:v>3</x:v>
      </x:c>
      <x:c r="R17" t="inlineStr">
        <x:is>
          <x:t xml:space="preserve">Low</x:t>
        </x:is>
      </x:c>
      <x:c r="S17" t="inlineStr">
        <x:is>
          <x:t xml:space="preserve">Privacy Office</x:t>
        </x:is>
      </x:c>
      <x:c r="T17" s="9" t="n">
        <x:v>46082</x:v>
      </x:c>
      <x:c r="U17" t="inlineStr">
        <x:is>
          <x:t xml:space="preserve">Closed</x:t>
        </x:is>
      </x:c>
      <x:c r="V17" t="inlineStr">
        <x:is>
          <x:t xml:space="preserve">No</x:t>
        </x:is>
      </x:c>
      <x:c r="W17" t="n">
        <x:v>11</x:v>
      </x:c>
      <x:c r="X17" t="inlineStr">
        <x:is>
          <x:t xml:space="preserve">Synthetic - CIE training only</x:t>
        </x:is>
      </x:c>
    </x:row>
    <x:row r="18">
      <x:c r="A18" t="inlineStr">
        <x:is>
          <x:t xml:space="preserve">LGL-26-0013</x:t>
        </x:is>
      </x:c>
      <x:c r="B18" s="9" t="n">
        <x:v>46065</x:v>
      </x:c>
      <x:c r="C18" t="inlineStr">
        <x:is>
          <x:t xml:space="preserve">Q1 2026</x:t>
        </x:is>
      </x:c>
      <x:c r="D18" t="inlineStr">
        <x:is>
          <x:t xml:space="preserve">Germany</x:t>
        </x:is>
      </x:c>
      <x:c r="E18" t="inlineStr">
        <x:is>
          <x:t xml:space="preserve">Europe</x:t>
        </x:is>
      </x:c>
      <x:c r="F18" t="inlineStr">
        <x:is>
          <x:t xml:space="preserve">Finance</x:t>
        </x:is>
      </x:c>
      <x:c r="G18" t="inlineStr">
        <x:is>
          <x:t xml:space="preserve">Professional services</x:t>
        </x:is>
      </x:c>
      <x:c r="H18" t="inlineStr">
        <x:is>
          <x:t xml:space="preserve">Consultancy</x:t>
        </x:is>
      </x:c>
      <x:c r="I18" t="inlineStr">
        <x:is>
          <x:t xml:space="preserve">Meridian Ridge Advisory</x:t>
        </x:is>
      </x:c>
      <x:c r="J18" t="inlineStr">
        <x:is>
          <x:t xml:space="preserve">Audit rights</x:t>
        </x:is>
      </x:c>
      <x:c r="K18" t="inlineStr">
        <x:is>
          <x:t xml:space="preserve">None</x:t>
        </x:is>
      </x:c>
      <x:c r="L18" t="inlineStr">
        <x:is>
          <x:t xml:space="preserve">None / public</x:t>
        </x:is>
      </x:c>
      <x:c r="M18" t="inlineStr">
        <x:is>
          <x:t xml:space="preserve">None</x:t>
        </x:is>
      </x:c>
      <x:c r="N18" t="inlineStr">
        <x:is>
          <x:t xml:space="preserve">Single market</x:t>
        </x:is>
      </x:c>
      <x:c r="O18" t="n">
        <x:v>2</x:v>
      </x:c>
      <x:c r="P18" t="n">
        <x:v>2</x:v>
      </x:c>
      <x:c r="Q18" t="n">
        <x:v>4</x:v>
      </x:c>
      <x:c r="R18" t="inlineStr">
        <x:is>
          <x:t xml:space="preserve">Low</x:t>
        </x:is>
      </x:c>
      <x:c r="S18" t="inlineStr">
        <x:is>
          <x:t xml:space="preserve">Digital &amp; Data Legal</x:t>
        </x:is>
      </x:c>
      <x:c r="T18" s="9" t="n">
        <x:v>46088</x:v>
      </x:c>
      <x:c r="U18" t="inlineStr">
        <x:is>
          <x:t xml:space="preserve">Closed</x:t>
        </x:is>
      </x:c>
      <x:c r="V18" t="inlineStr">
        <x:is>
          <x:t xml:space="preserve">No</x:t>
        </x:is>
      </x:c>
      <x:c r="W18" t="n">
        <x:v>12</x:v>
      </x:c>
      <x:c r="X18" t="inlineStr">
        <x:is>
          <x:t xml:space="preserve">Synthetic - CIE training only</x:t>
        </x:is>
      </x:c>
    </x:row>
    <x:row r="19">
      <x:c r="A19" t="inlineStr">
        <x:is>
          <x:t xml:space="preserve">LGL-26-0014</x:t>
        </x:is>
      </x:c>
      <x:c r="B19" s="9" t="n">
        <x:v>46094</x:v>
      </x:c>
      <x:c r="C19" t="inlineStr">
        <x:is>
          <x:t xml:space="preserve">Q1 2026</x:t>
        </x:is>
      </x:c>
      <x:c r="D19" t="inlineStr">
        <x:is>
          <x:t xml:space="preserve">Romania</x:t>
        </x:is>
      </x:c>
      <x:c r="E19" t="inlineStr">
        <x:is>
          <x:t xml:space="preserve">Europe</x:t>
        </x:is>
      </x:c>
      <x:c r="F19" t="inlineStr">
        <x:is>
          <x:t xml:space="preserve">HR</x:t>
        </x:is>
      </x:c>
      <x:c r="G19" t="inlineStr">
        <x:is>
          <x:t xml:space="preserve">Software licence</x:t>
        </x:is>
      </x:c>
      <x:c r="H19" t="inlineStr">
        <x:is>
          <x:t xml:space="preserve">Technology vendor</x:t>
        </x:is>
      </x:c>
      <x:c r="I19" t="inlineStr">
        <x:is>
          <x:t xml:space="preserve">Pinemark Software Ltd</x:t>
        </x:is>
      </x:c>
      <x:c r="J19" t="inlineStr">
        <x:is>
          <x:t xml:space="preserve">Termination</x:t>
        </x:is>
      </x:c>
      <x:c r="K19" t="inlineStr">
        <x:is>
          <x:t xml:space="preserve">Major</x:t>
        </x:is>
      </x:c>
      <x:c r="L19" t="inlineStr">
        <x:is>
          <x:t xml:space="preserve">Business confidential</x:t>
        </x:is>
      </x:c>
      <x:c r="M19" t="inlineStr">
        <x:is>
          <x:t xml:space="preserve">None</x:t>
        </x:is>
      </x:c>
      <x:c r="N19" t="inlineStr">
        <x:is>
          <x:t xml:space="preserve">Single market</x:t>
        </x:is>
      </x:c>
      <x:c r="O19" t="n">
        <x:v>2</x:v>
      </x:c>
      <x:c r="P19" t="n">
        <x:v>2</x:v>
      </x:c>
      <x:c r="Q19" t="n">
        <x:v>4</x:v>
      </x:c>
      <x:c r="R19" t="inlineStr">
        <x:is>
          <x:t xml:space="preserve">Low</x:t>
        </x:is>
      </x:c>
      <x:c r="S19" t="inlineStr">
        <x:is>
          <x:t xml:space="preserve">Commercial Legal</x:t>
        </x:is>
      </x:c>
      <x:c r="T19" s="9" t="n">
        <x:v>46114</x:v>
      </x:c>
      <x:c r="U19" t="inlineStr">
        <x:is>
          <x:t xml:space="preserve">Closed</x:t>
        </x:is>
      </x:c>
      <x:c r="V19" t="inlineStr">
        <x:is>
          <x:t xml:space="preserve">No</x:t>
        </x:is>
      </x:c>
      <x:c r="W19" t="n">
        <x:v>9</x:v>
      </x:c>
      <x:c r="X19" t="inlineStr">
        <x:is>
          <x:t xml:space="preserve">Synthetic - CIE training only</x:t>
        </x:is>
      </x:c>
    </x:row>
    <x:row r="20">
      <x:c r="A20" t="inlineStr">
        <x:is>
          <x:t xml:space="preserve">LGL-26-0015</x:t>
        </x:is>
      </x:c>
      <x:c r="B20" s="9" t="n">
        <x:v>46109</x:v>
      </x:c>
      <x:c r="C20" t="inlineStr">
        <x:is>
          <x:t xml:space="preserve">Q1 2026</x:t>
        </x:is>
      </x:c>
      <x:c r="D20" t="inlineStr">
        <x:is>
          <x:t xml:space="preserve">Poland</x:t>
        </x:is>
      </x:c>
      <x:c r="E20" t="inlineStr">
        <x:is>
          <x:t xml:space="preserve">Europe</x:t>
        </x:is>
      </x:c>
      <x:c r="F20" t="inlineStr">
        <x:is>
          <x:t xml:space="preserve">Corporate Affairs</x:t>
        </x:is>
      </x:c>
      <x:c r="G20" t="inlineStr">
        <x:is>
          <x:t xml:space="preserve">SaaS / Cloud services</x:t>
        </x:is>
      </x:c>
      <x:c r="H20" t="inlineStr">
        <x:is>
          <x:t xml:space="preserve">Technology vendor</x:t>
        </x:is>
      </x:c>
      <x:c r="I20" t="inlineStr">
        <x:is>
          <x:t xml:space="preserve">Halcyon Workflow Inc</x:t>
        </x:is>
      </x:c>
      <x:c r="J20" t="inlineStr">
        <x:is>
          <x:t xml:space="preserve">Confidentiality</x:t>
        </x:is>
      </x:c>
      <x:c r="K20" t="inlineStr">
        <x:is>
          <x:t xml:space="preserve">None</x:t>
        </x:is>
      </x:c>
      <x:c r="L20" t="inlineStr">
        <x:is>
          <x:t xml:space="preserve">None / public</x:t>
        </x:is>
      </x:c>
      <x:c r="M20" t="inlineStr">
        <x:is>
          <x:t xml:space="preserve">None</x:t>
        </x:is>
      </x:c>
      <x:c r="N20" t="inlineStr">
        <x:is>
          <x:t xml:space="preserve">Single market</x:t>
        </x:is>
      </x:c>
      <x:c r="O20" t="n">
        <x:v>1</x:v>
      </x:c>
      <x:c r="P20" t="n">
        <x:v>1</x:v>
      </x:c>
      <x:c r="Q20" t="n">
        <x:v>1</x:v>
      </x:c>
      <x:c r="R20" t="inlineStr">
        <x:is>
          <x:t xml:space="preserve">Low</x:t>
        </x:is>
      </x:c>
      <x:c r="S20" t="inlineStr">
        <x:is>
          <x:t xml:space="preserve">Commercial Legal</x:t>
        </x:is>
      </x:c>
      <x:c r="T20" s="9" t="n">
        <x:v>46131</x:v>
      </x:c>
      <x:c r="U20" t="inlineStr">
        <x:is>
          <x:t xml:space="preserve">Closed</x:t>
        </x:is>
      </x:c>
      <x:c r="V20" t="inlineStr">
        <x:is>
          <x:t xml:space="preserve">No</x:t>
        </x:is>
      </x:c>
      <x:c r="W20" t="n">
        <x:v>10</x:v>
      </x:c>
      <x:c r="X20" t="inlineStr">
        <x:is>
          <x:t xml:space="preserve">Synthetic - CIE training only</x:t>
        </x:is>
      </x:c>
    </x:row>
    <x:row r="21">
      <x:c r="A21" t="inlineStr">
        <x:is>
          <x:t xml:space="preserve">LGL-26-0016</x:t>
        </x:is>
      </x:c>
      <x:c r="B21" s="9" t="n">
        <x:v>46070</x:v>
      </x:c>
      <x:c r="C21" t="inlineStr">
        <x:is>
          <x:t xml:space="preserve">Q1 2026</x:t>
        </x:is>
      </x:c>
      <x:c r="D21" t="inlineStr">
        <x:is>
          <x:t xml:space="preserve">Japan</x:t>
        </x:is>
      </x:c>
      <x:c r="E21" t="inlineStr">
        <x:is>
          <x:t xml:space="preserve">Asia-Pacific</x:t>
        </x:is>
      </x:c>
      <x:c r="F21" t="inlineStr">
        <x:is>
          <x:t xml:space="preserve">Operations</x:t>
        </x:is>
      </x:c>
      <x:c r="G21" t="inlineStr">
        <x:is>
          <x:t xml:space="preserve">Professional services</x:t>
        </x:is>
      </x:c>
      <x:c r="H21" t="inlineStr">
        <x:is>
          <x:t xml:space="preserve">Technology vendor</x:t>
        </x:is>
      </x:c>
      <x:c r="I21" t="inlineStr">
        <x:is>
          <x:t xml:space="preserve">Tessaro Systems BV</x:t>
        </x:is>
      </x:c>
      <x:c r="J21" t="inlineStr">
        <x:is>
          <x:t xml:space="preserve">Confidentiality</x:t>
        </x:is>
      </x:c>
      <x:c r="K21" t="inlineStr">
        <x:is>
          <x:t xml:space="preserve">None</x:t>
        </x:is>
      </x:c>
      <x:c r="L21" t="inlineStr">
        <x:is>
          <x:t xml:space="preserve">None / public</x:t>
        </x:is>
      </x:c>
      <x:c r="M21" t="inlineStr">
        <x:is>
          <x:t xml:space="preserve">None</x:t>
        </x:is>
      </x:c>
      <x:c r="N21" t="inlineStr">
        <x:is>
          <x:t xml:space="preserve">Single market</x:t>
        </x:is>
      </x:c>
      <x:c r="O21" t="n">
        <x:v>1</x:v>
      </x:c>
      <x:c r="P21" t="n">
        <x:v>3</x:v>
      </x:c>
      <x:c r="Q21" t="n">
        <x:v>3</x:v>
      </x:c>
      <x:c r="R21" t="inlineStr">
        <x:is>
          <x:t xml:space="preserve">Low</x:t>
        </x:is>
      </x:c>
      <x:c r="S21" t="inlineStr">
        <x:is>
          <x:t xml:space="preserve">Commercial Legal</x:t>
        </x:is>
      </x:c>
      <x:c r="T21" s="9" t="n">
        <x:v>46093</x:v>
      </x:c>
      <x:c r="U21" t="inlineStr">
        <x:is>
          <x:t xml:space="preserve">Closed</x:t>
        </x:is>
      </x:c>
      <x:c r="V21" t="inlineStr">
        <x:is>
          <x:t xml:space="preserve">No</x:t>
        </x:is>
      </x:c>
      <x:c r="W21" t="n">
        <x:v>11</x:v>
      </x:c>
      <x:c r="X21" t="inlineStr">
        <x:is>
          <x:t xml:space="preserve">Synthetic - CIE training only</x:t>
        </x:is>
      </x:c>
    </x:row>
    <x:row r="22">
      <x:c r="A22" t="inlineStr">
        <x:is>
          <x:t xml:space="preserve">LGL-26-0017</x:t>
        </x:is>
      </x:c>
      <x:c r="B22" s="9" t="n">
        <x:v>46071</x:v>
      </x:c>
      <x:c r="C22" t="inlineStr">
        <x:is>
          <x:t xml:space="preserve">Q1 2026</x:t>
        </x:is>
      </x:c>
      <x:c r="D22" t="inlineStr">
        <x:is>
          <x:t xml:space="preserve">Mexico</x:t>
        </x:is>
      </x:c>
      <x:c r="E22" t="inlineStr">
        <x:is>
          <x:t xml:space="preserve">Americas</x:t>
        </x:is>
      </x:c>
      <x:c r="F22" t="inlineStr">
        <x:is>
          <x:t xml:space="preserve">Finance</x:t>
        </x:is>
      </x:c>
      <x:c r="G22" t="inlineStr">
        <x:is>
          <x:t xml:space="preserve">Marketing agency agreement</x:t>
        </x:is>
      </x:c>
      <x:c r="H22" t="inlineStr">
        <x:is>
          <x:t xml:space="preserve">Agency</x:t>
        </x:is>
      </x:c>
      <x:c r="I22" t="inlineStr">
        <x:is>
          <x:t xml:space="preserve">Corvid Creative Partners</x:t>
        </x:is>
      </x:c>
      <x:c r="J22" t="inlineStr">
        <x:is>
          <x:t xml:space="preserve">Termination</x:t>
        </x:is>
      </x:c>
      <x:c r="K22" t="inlineStr">
        <x:is>
          <x:t xml:space="preserve">Minor</x:t>
        </x:is>
      </x:c>
      <x:c r="L22" t="inlineStr">
        <x:is>
          <x:t xml:space="preserve">Personal data - employee</x:t>
        </x:is>
      </x:c>
      <x:c r="M22" t="inlineStr">
        <x:is>
          <x:t xml:space="preserve">None</x:t>
        </x:is>
      </x:c>
      <x:c r="N22" t="inlineStr">
        <x:is>
          <x:t xml:space="preserve">Cross-border data transfer</x:t>
        </x:is>
      </x:c>
      <x:c r="O22" t="n">
        <x:v>3</x:v>
      </x:c>
      <x:c r="P22" t="n">
        <x:v>3</x:v>
      </x:c>
      <x:c r="Q22" t="n">
        <x:v>9</x:v>
      </x:c>
      <x:c r="R22" t="inlineStr">
        <x:is>
          <x:t xml:space="preserve">Medium</x:t>
        </x:is>
      </x:c>
      <x:c r="S22" t="inlineStr">
        <x:is>
          <x:t xml:space="preserve">Commercial Legal</x:t>
        </x:is>
      </x:c>
      <x:c r="T22" s="9" t="n">
        <x:v>46091</x:v>
      </x:c>
      <x:c r="U22" t="inlineStr">
        <x:is>
          <x:t xml:space="preserve">Closed</x:t>
        </x:is>
      </x:c>
      <x:c r="V22" t="inlineStr">
        <x:is>
          <x:t xml:space="preserve">No</x:t>
        </x:is>
      </x:c>
      <x:c r="W22" t="n">
        <x:v>12</x:v>
      </x:c>
      <x:c r="X22" t="inlineStr">
        <x:is>
          <x:t xml:space="preserve">Synthetic - CIE training only</x:t>
        </x:is>
      </x:c>
    </x:row>
    <x:row r="23">
      <x:c r="A23" t="inlineStr">
        <x:is>
          <x:t xml:space="preserve">LGL-26-0018</x:t>
        </x:is>
      </x:c>
      <x:c r="B23" s="9" t="n">
        <x:v>46024</x:v>
      </x:c>
      <x:c r="C23" t="inlineStr">
        <x:is>
          <x:t xml:space="preserve">Q1 2026</x:t>
        </x:is>
      </x:c>
      <x:c r="D23" t="inlineStr">
        <x:is>
          <x:t xml:space="preserve">Indonesia</x:t>
        </x:is>
      </x:c>
      <x:c r="E23" t="inlineStr">
        <x:is>
          <x:t xml:space="preserve">Asia-Pacific</x:t>
        </x:is>
      </x:c>
      <x:c r="F23" t="inlineStr">
        <x:is>
          <x:t xml:space="preserve">Procurement</x:t>
        </x:is>
      </x:c>
      <x:c r="G23" t="inlineStr">
        <x:is>
          <x:t xml:space="preserve">Professional services</x:t>
        </x:is>
      </x:c>
      <x:c r="H23" t="inlineStr">
        <x:is>
          <x:t xml:space="preserve">Consultancy</x:t>
        </x:is>
      </x:c>
      <x:c r="I23" t="inlineStr">
        <x:is>
          <x:t xml:space="preserve">Oakhurst Consulting LLP</x:t>
        </x:is>
      </x:c>
      <x:c r="J23" t="inlineStr">
        <x:is>
          <x:t xml:space="preserve">Confidentiality</x:t>
        </x:is>
      </x:c>
      <x:c r="K23" t="inlineStr">
        <x:is>
          <x:t xml:space="preserve">None</x:t>
        </x:is>
      </x:c>
      <x:c r="L23" t="inlineStr">
        <x:is>
          <x:t xml:space="preserve">Personal data - employee</x:t>
        </x:is>
      </x:c>
      <x:c r="M23" t="inlineStr">
        <x:is>
          <x:t xml:space="preserve">None</x:t>
        </x:is>
      </x:c>
      <x:c r="N23" t="inlineStr">
        <x:is>
          <x:t xml:space="preserve">Single market</x:t>
        </x:is>
      </x:c>
      <x:c r="O23" t="n">
        <x:v>1</x:v>
      </x:c>
      <x:c r="P23" t="n">
        <x:v>3</x:v>
      </x:c>
      <x:c r="Q23" t="n">
        <x:v>3</x:v>
      </x:c>
      <x:c r="R23" t="inlineStr">
        <x:is>
          <x:t xml:space="preserve">Low</x:t>
        </x:is>
      </x:c>
      <x:c r="S23" t="inlineStr">
        <x:is>
          <x:t xml:space="preserve">Commercial Legal</x:t>
        </x:is>
      </x:c>
      <x:c r="T23" s="9" t="n">
        <x:v>46046</x:v>
      </x:c>
      <x:c r="U23" t="inlineStr">
        <x:is>
          <x:t xml:space="preserve">Closed</x:t>
        </x:is>
      </x:c>
      <x:c r="V23" t="inlineStr">
        <x:is>
          <x:t xml:space="preserve">No</x:t>
        </x:is>
      </x:c>
      <x:c r="W23" t="n">
        <x:v>9</x:v>
      </x:c>
      <x:c r="X23" t="inlineStr">
        <x:is>
          <x:t xml:space="preserve">Synthetic - CIE training only</x:t>
        </x:is>
      </x:c>
    </x:row>
    <x:row r="24">
      <x:c r="A24" t="inlineStr">
        <x:is>
          <x:t xml:space="preserve">LGL-26-0019</x:t>
        </x:is>
      </x:c>
      <x:c r="B24" s="9" t="n">
        <x:v>46038</x:v>
      </x:c>
      <x:c r="C24" t="inlineStr">
        <x:is>
          <x:t xml:space="preserve">Q1 2026</x:t>
        </x:is>
      </x:c>
      <x:c r="D24" t="inlineStr">
        <x:is>
          <x:t xml:space="preserve">United Kingdom</x:t>
        </x:is>
      </x:c>
      <x:c r="E24" t="inlineStr">
        <x:is>
          <x:t xml:space="preserve">Europe</x:t>
        </x:is>
      </x:c>
      <x:c r="F24" t="inlineStr">
        <x:is>
          <x:t xml:space="preserve">HR</x:t>
        </x:is>
      </x:c>
      <x:c r="G24" t="inlineStr">
        <x:is>
          <x:t xml:space="preserve">Professional services</x:t>
        </x:is>
      </x:c>
      <x:c r="H24" t="inlineStr">
        <x:is>
          <x:t xml:space="preserve">Agency</x:t>
        </x:is>
      </x:c>
      <x:c r="I24" t="inlineStr">
        <x:is>
          <x:t xml:space="preserve">Lantern &amp; Reed Agency</x:t>
        </x:is>
      </x:c>
      <x:c r="J24" t="inlineStr">
        <x:is>
          <x:t xml:space="preserve">Limitation of liability</x:t>
        </x:is>
      </x:c>
      <x:c r="K24" t="inlineStr">
        <x:is>
          <x:t xml:space="preserve">Critical</x:t>
        </x:is>
      </x:c>
      <x:c r="L24" t="inlineStr">
        <x:is>
          <x:t xml:space="preserve">Business confidential</x:t>
        </x:is>
      </x:c>
      <x:c r="M24" t="inlineStr">
        <x:is>
          <x:t xml:space="preserve">None</x:t>
        </x:is>
      </x:c>
      <x:c r="N24" t="inlineStr">
        <x:is>
          <x:t xml:space="preserve">Single market</x:t>
        </x:is>
      </x:c>
      <x:c r="O24" t="n">
        <x:v>5</x:v>
      </x:c>
      <x:c r="P24" t="n">
        <x:v>2</x:v>
      </x:c>
      <x:c r="Q24" t="n">
        <x:v>10</x:v>
      </x:c>
      <x:c r="R24" t="inlineStr">
        <x:is>
          <x:t xml:space="preserve">Medium</x:t>
        </x:is>
      </x:c>
      <x:c r="S24" t="inlineStr">
        <x:is>
          <x:t xml:space="preserve">Commercial Legal</x:t>
        </x:is>
      </x:c>
      <x:c r="T24" s="9" t="n">
        <x:v>46053</x:v>
      </x:c>
      <x:c r="U24" t="inlineStr">
        <x:is>
          <x:t xml:space="preserve">Awaiting business info</x:t>
        </x:is>
      </x:c>
      <x:c r="V24" t="inlineStr">
        <x:is>
          <x:t xml:space="preserve">No</x:t>
        </x:is>
      </x:c>
      <x:c r="W24" t="n">
        <x:v>273</x:v>
      </x:c>
      <x:c r="X24" t="inlineStr">
        <x:is>
          <x:t xml:space="preserve">Synthetic - CIE training only</x:t>
        </x:is>
      </x:c>
    </x:row>
    <x:row r="25">
      <x:c r="A25" t="inlineStr">
        <x:is>
          <x:t xml:space="preserve">LGL-26-0020</x:t>
        </x:is>
      </x:c>
      <x:c r="B25" s="9" t="n">
        <x:v>46059</x:v>
      </x:c>
      <x:c r="C25" t="inlineStr">
        <x:is>
          <x:t xml:space="preserve">Q1 2026</x:t>
        </x:is>
      </x:c>
      <x:c r="D25" t="inlineStr">
        <x:is>
          <x:t xml:space="preserve">Romania</x:t>
        </x:is>
      </x:c>
      <x:c r="E25" t="inlineStr">
        <x:is>
          <x:t xml:space="preserve">Europe</x:t>
        </x:is>
      </x:c>
      <x:c r="F25" t="inlineStr">
        <x:is>
          <x:t xml:space="preserve">Marketing</x:t>
        </x:is>
      </x:c>
      <x:c r="G25" t="inlineStr">
        <x:is>
          <x:t xml:space="preserve">Data sharing agreement</x:t>
        </x:is>
      </x:c>
      <x:c r="H25" t="inlineStr">
        <x:is>
          <x:t xml:space="preserve">AI/analytics vendor</x:t>
        </x:is>
      </x:c>
      <x:c r="I25" t="inlineStr">
        <x:is>
          <x:t xml:space="preserve">Quillon AI GmbH</x:t>
        </x:is>
      </x:c>
      <x:c r="J25" t="inlineStr">
        <x:is>
          <x:t xml:space="preserve">AI transparency</x:t>
        </x:is>
      </x:c>
      <x:c r="K25" t="inlineStr">
        <x:is>
          <x:t xml:space="preserve">Critical</x:t>
        </x:is>
      </x:c>
      <x:c r="L25" t="inlineStr">
        <x:is>
          <x:t xml:space="preserve">Business confidential</x:t>
        </x:is>
      </x:c>
      <x:c r="M25" t="inlineStr">
        <x:is>
          <x:t xml:space="preserve">AI-enabled feature</x:t>
        </x:is>
      </x:c>
      <x:c r="N25" t="inlineStr">
        <x:is>
          <x:t xml:space="preserve">Emerging AI regulation - counsel to assess</x:t>
        </x:is>
      </x:c>
      <x:c r="O25" t="n">
        <x:v>4</x:v>
      </x:c>
      <x:c r="P25" t="n">
        <x:v>3</x:v>
      </x:c>
      <x:c r="Q25" t="n">
        <x:v>12</x:v>
      </x:c>
      <x:c r="R25" t="inlineStr">
        <x:is>
          <x:t xml:space="preserve">High</x:t>
        </x:is>
      </x:c>
      <x:c r="S25" t="inlineStr">
        <x:is>
          <x:t xml:space="preserve">AI Governance Panel</x:t>
        </x:is>
      </x:c>
      <x:c r="T25" s="9" t="n">
        <x:v>46072</x:v>
      </x:c>
      <x:c r="U25" t="inlineStr">
        <x:is>
          <x:t xml:space="preserve">Closed</x:t>
        </x:is>
      </x:c>
      <x:c r="V25" t="inlineStr">
        <x:is>
          <x:t xml:space="preserve">Yes</x:t>
        </x:is>
      </x:c>
      <x:c r="W25" t="n">
        <x:v>21</x:v>
      </x:c>
      <x:c r="X25" t="inlineStr">
        <x:is>
          <x:t xml:space="preserve">Synthetic - CIE training only</x:t>
        </x:is>
      </x:c>
    </x:row>
    <x:row r="26">
      <x:c r="A26" t="inlineStr">
        <x:is>
          <x:t xml:space="preserve">LGL-26-0021</x:t>
        </x:is>
      </x:c>
      <x:c r="B26" s="9" t="n">
        <x:v>46031</x:v>
      </x:c>
      <x:c r="C26" t="inlineStr">
        <x:is>
          <x:t xml:space="preserve">Q1 2026</x:t>
        </x:is>
      </x:c>
      <x:c r="D26" t="inlineStr">
        <x:is>
          <x:t xml:space="preserve">Kenya</x:t>
        </x:is>
      </x:c>
      <x:c r="E26" t="inlineStr">
        <x:is>
          <x:t xml:space="preserve">Middle East &amp; Africa</x:t>
        </x:is>
      </x:c>
      <x:c r="F26" t="inlineStr">
        <x:is>
          <x:t xml:space="preserve">Finance</x:t>
        </x:is>
      </x:c>
      <x:c r="G26" t="inlineStr">
        <x:is>
          <x:t xml:space="preserve">Professional services</x:t>
        </x:is>
      </x:c>
      <x:c r="H26" t="inlineStr">
        <x:is>
          <x:t xml:space="preserve">Agency</x:t>
        </x:is>
      </x:c>
      <x:c r="I26" t="inlineStr">
        <x:is>
          <x:t xml:space="preserve">Lantern &amp; Reed Agency</x:t>
        </x:is>
      </x:c>
      <x:c r="J26" t="inlineStr">
        <x:is>
          <x:t xml:space="preserve">Limitation of liability</x:t>
        </x:is>
      </x:c>
      <x:c r="K26" t="inlineStr">
        <x:is>
          <x:t xml:space="preserve">None</x:t>
        </x:is>
      </x:c>
      <x:c r="L26" t="inlineStr">
        <x:is>
          <x:t xml:space="preserve">Business confidential</x:t>
        </x:is>
      </x:c>
      <x:c r="M26" t="inlineStr">
        <x:is>
          <x:t xml:space="preserve">None</x:t>
        </x:is>
      </x:c>
      <x:c r="N26" t="inlineStr">
        <x:is>
          <x:t xml:space="preserve">Single market</x:t>
        </x:is>
      </x:c>
      <x:c r="O26" t="n">
        <x:v>1</x:v>
      </x:c>
      <x:c r="P26" t="n">
        <x:v>2</x:v>
      </x:c>
      <x:c r="Q26" t="n">
        <x:v>2</x:v>
      </x:c>
      <x:c r="R26" t="inlineStr">
        <x:is>
          <x:t xml:space="preserve">Low</x:t>
        </x:is>
      </x:c>
      <x:c r="S26" t="inlineStr">
        <x:is>
          <x:t xml:space="preserve">Commercial Legal</x:t>
        </x:is>
      </x:c>
      <x:c r="T26" s="9" t="n">
        <x:v>46052</x:v>
      </x:c>
      <x:c r="U26" t="inlineStr">
        <x:is>
          <x:t xml:space="preserve">Closed</x:t>
        </x:is>
      </x:c>
      <x:c r="V26" t="inlineStr">
        <x:is>
          <x:t xml:space="preserve">No</x:t>
        </x:is>
      </x:c>
      <x:c r="W26" t="n">
        <x:v>18</x:v>
      </x:c>
      <x:c r="X26" t="inlineStr">
        <x:is>
          <x:t xml:space="preserve">Synthetic - CIE training only</x:t>
        </x:is>
      </x:c>
    </x:row>
    <x:row r="27">
      <x:c r="A27" t="inlineStr">
        <x:is>
          <x:t xml:space="preserve">LGL-26-0022</x:t>
        </x:is>
      </x:c>
      <x:c r="B27" s="9" t="n">
        <x:v>46057</x:v>
      </x:c>
      <x:c r="C27" t="inlineStr">
        <x:is>
          <x:t xml:space="preserve">Q1 2026</x:t>
        </x:is>
      </x:c>
      <x:c r="D27" t="inlineStr">
        <x:is>
          <x:t xml:space="preserve">Brazil</x:t>
        </x:is>
      </x:c>
      <x:c r="E27" t="inlineStr">
        <x:is>
          <x:t xml:space="preserve">Americas</x:t>
        </x:is>
      </x:c>
      <x:c r="F27" t="inlineStr">
        <x:is>
          <x:t xml:space="preserve">Finance</x:t>
        </x:is>
      </x:c>
      <x:c r="G27" t="inlineStr">
        <x:is>
          <x:t xml:space="preserve">Marketing agency agreement</x:t>
        </x:is>
      </x:c>
      <x:c r="H27" t="inlineStr">
        <x:is>
          <x:t xml:space="preserve">Agency</x:t>
        </x:is>
      </x:c>
      <x:c r="I27" t="inlineStr">
        <x:is>
          <x:t xml:space="preserve">Corvid Creative Partners</x:t>
        </x:is>
      </x:c>
      <x:c r="J27" t="inlineStr">
        <x:is>
          <x:t xml:space="preserve">Limitation of liability</x:t>
        </x:is>
      </x:c>
      <x:c r="K27" t="inlineStr">
        <x:is>
          <x:t xml:space="preserve">Minor</x:t>
        </x:is>
      </x:c>
      <x:c r="L27" t="inlineStr">
        <x:is>
          <x:t xml:space="preserve">Personal data - employee</x:t>
        </x:is>
      </x:c>
      <x:c r="M27" t="inlineStr">
        <x:is>
          <x:t xml:space="preserve">None</x:t>
        </x:is>
      </x:c>
      <x:c r="N27" t="inlineStr">
        <x:is>
          <x:t xml:space="preserve">Cross-border data transfer</x:t>
        </x:is>
      </x:c>
      <x:c r="O27" t="n">
        <x:v>1</x:v>
      </x:c>
      <x:c r="P27" t="n">
        <x:v>3</x:v>
      </x:c>
      <x:c r="Q27" t="n">
        <x:v>3</x:v>
      </x:c>
      <x:c r="R27" t="inlineStr">
        <x:is>
          <x:t xml:space="preserve">Low</x:t>
        </x:is>
      </x:c>
      <x:c r="S27" t="inlineStr">
        <x:is>
          <x:t xml:space="preserve">Commercial Legal</x:t>
        </x:is>
      </x:c>
      <x:c r="T27" s="9" t="n">
        <x:v>46082</x:v>
      </x:c>
      <x:c r="U27" t="inlineStr">
        <x:is>
          <x:t xml:space="preserve">Closed</x:t>
        </x:is>
      </x:c>
      <x:c r="V27" t="inlineStr">
        <x:is>
          <x:t xml:space="preserve">No</x:t>
        </x:is>
      </x:c>
      <x:c r="W27" t="n">
        <x:v>8</x:v>
      </x:c>
      <x:c r="X27" t="inlineStr">
        <x:is>
          <x:t xml:space="preserve">Synthetic - CIE training only</x:t>
        </x:is>
      </x:c>
    </x:row>
    <x:row r="28">
      <x:c r="A28" t="inlineStr">
        <x:is>
          <x:t xml:space="preserve">LGL-26-0023</x:t>
        </x:is>
      </x:c>
      <x:c r="B28" s="9" t="n">
        <x:v>46050</x:v>
      </x:c>
      <x:c r="C28" t="inlineStr">
        <x:is>
          <x:t xml:space="preserve">Q1 2026</x:t>
        </x:is>
      </x:c>
      <x:c r="D28" t="inlineStr">
        <x:is>
          <x:t xml:space="preserve">Romania</x:t>
        </x:is>
      </x:c>
      <x:c r="E28" t="inlineStr">
        <x:is>
          <x:t xml:space="preserve">Europe</x:t>
        </x:is>
      </x:c>
      <x:c r="F28" t="inlineStr">
        <x:is>
          <x:t xml:space="preserve">Procurement</x:t>
        </x:is>
      </x:c>
      <x:c r="G28" t="inlineStr">
        <x:is>
          <x:t xml:space="preserve">NDA</x:t>
        </x:is>
      </x:c>
      <x:c r="H28" t="inlineStr">
        <x:is>
          <x:t xml:space="preserve">Consultancy</x:t>
        </x:is>
      </x:c>
      <x:c r="I28" t="inlineStr">
        <x:is>
          <x:t xml:space="preserve">Meridian Ridge Advisory</x:t>
        </x:is>
      </x:c>
      <x:c r="J28" t="inlineStr">
        <x:is>
          <x:t xml:space="preserve">Limitation of liability</x:t>
        </x:is>
      </x:c>
      <x:c r="K28" t="inlineStr">
        <x:is>
          <x:t xml:space="preserve">None</x:t>
        </x:is>
      </x:c>
      <x:c r="L28" t="inlineStr">
        <x:is>
          <x:t xml:space="preserve">None / public</x:t>
        </x:is>
      </x:c>
      <x:c r="M28" t="inlineStr">
        <x:is>
          <x:t xml:space="preserve">None</x:t>
        </x:is>
      </x:c>
      <x:c r="N28" t="inlineStr">
        <x:is>
          <x:t xml:space="preserve">Single market</x:t>
        </x:is>
      </x:c>
      <x:c r="O28" t="n">
        <x:v>2</x:v>
      </x:c>
      <x:c r="P28" t="n">
        <x:v>1</x:v>
      </x:c>
      <x:c r="Q28" t="n">
        <x:v>2</x:v>
      </x:c>
      <x:c r="R28" t="inlineStr">
        <x:is>
          <x:t xml:space="preserve">Low</x:t>
        </x:is>
      </x:c>
      <x:c r="S28" t="inlineStr">
        <x:is>
          <x:t xml:space="preserve">Commercial Legal</x:t>
        </x:is>
      </x:c>
      <x:c r="T28" s="9" t="n">
        <x:v>46075</x:v>
      </x:c>
      <x:c r="U28" t="inlineStr">
        <x:is>
          <x:t xml:space="preserve">Closed</x:t>
        </x:is>
      </x:c>
      <x:c r="V28" t="inlineStr">
        <x:is>
          <x:t xml:space="preserve">No</x:t>
        </x:is>
      </x:c>
      <x:c r="W28" t="n">
        <x:v>3</x:v>
      </x:c>
      <x:c r="X28" t="inlineStr">
        <x:is>
          <x:t xml:space="preserve">Synthetic - CIE training only</x:t>
        </x:is>
      </x:c>
    </x:row>
    <x:row r="29">
      <x:c r="A29" t="inlineStr">
        <x:is>
          <x:t xml:space="preserve">LGL-26-0024</x:t>
        </x:is>
      </x:c>
      <x:c r="B29" s="9" t="n">
        <x:v>46030</x:v>
      </x:c>
      <x:c r="C29" t="inlineStr">
        <x:is>
          <x:t xml:space="preserve">Q1 2026</x:t>
        </x:is>
      </x:c>
      <x:c r="D29" t="inlineStr">
        <x:is>
          <x:t xml:space="preserve">Mexico</x:t>
        </x:is>
      </x:c>
      <x:c r="E29" t="inlineStr">
        <x:is>
          <x:t xml:space="preserve">Americas</x:t>
        </x:is>
      </x:c>
      <x:c r="F29" t="inlineStr">
        <x:is>
          <x:t xml:space="preserve">Procurement</x:t>
        </x:is>
      </x:c>
      <x:c r="G29" t="inlineStr">
        <x:is>
          <x:t xml:space="preserve">NDA</x:t>
        </x:is>
      </x:c>
      <x:c r="H29" t="inlineStr">
        <x:is>
          <x:t xml:space="preserve">Distributor</x:t>
        </x:is>
      </x:c>
      <x:c r="I29" t="inlineStr">
        <x:is>
          <x:t xml:space="preserve">Tidewater Logistics Co</x:t>
        </x:is>
      </x:c>
      <x:c r="J29" t="inlineStr">
        <x:is>
          <x:t xml:space="preserve">Limitation of liability</x:t>
        </x:is>
      </x:c>
      <x:c r="K29" t="inlineStr">
        <x:is>
          <x:t xml:space="preserve">Minor</x:t>
        </x:is>
      </x:c>
      <x:c r="L29" t="inlineStr">
        <x:is>
          <x:t xml:space="preserve">Business confidential</x:t>
        </x:is>
      </x:c>
      <x:c r="M29" t="inlineStr">
        <x:is>
          <x:t xml:space="preserve">None</x:t>
        </x:is>
      </x:c>
      <x:c r="N29" t="inlineStr">
        <x:is>
          <x:t xml:space="preserve">Single market</x:t>
        </x:is>
      </x:c>
      <x:c r="O29" t="n">
        <x:v>3</x:v>
      </x:c>
      <x:c r="P29" t="n">
        <x:v>2</x:v>
      </x:c>
      <x:c r="Q29" t="n">
        <x:v>6</x:v>
      </x:c>
      <x:c r="R29" t="inlineStr">
        <x:is>
          <x:t xml:space="preserve">Medium</x:t>
        </x:is>
      </x:c>
      <x:c r="S29" t="inlineStr">
        <x:is>
          <x:t xml:space="preserve">Commercial Legal</x:t>
        </x:is>
      </x:c>
      <x:c r="T29" s="9" t="n">
        <x:v>46045</x:v>
      </x:c>
      <x:c r="U29" t="inlineStr">
        <x:is>
          <x:t xml:space="preserve">Awaiting business info</x:t>
        </x:is>
      </x:c>
      <x:c r="V29" t="inlineStr">
        <x:is>
          <x:t xml:space="preserve">No</x:t>
        </x:is>
      </x:c>
      <x:c r="W29" t="n">
        <x:v>281</x:v>
      </x:c>
      <x:c r="X29" t="inlineStr">
        <x:is>
          <x:t xml:space="preserve">Synthetic - CIE training only</x:t>
        </x:is>
      </x:c>
    </x:row>
    <x:row r="30">
      <x:c r="A30" t="inlineStr">
        <x:is>
          <x:t xml:space="preserve">LGL-26-0025</x:t>
        </x:is>
      </x:c>
      <x:c r="B30" s="9" t="n">
        <x:v>46103</x:v>
      </x:c>
      <x:c r="C30" t="inlineStr">
        <x:is>
          <x:t xml:space="preserve">Q1 2026</x:t>
        </x:is>
      </x:c>
      <x:c r="D30" t="inlineStr">
        <x:is>
          <x:t xml:space="preserve">Romania</x:t>
        </x:is>
      </x:c>
      <x:c r="E30" t="inlineStr">
        <x:is>
          <x:t xml:space="preserve">Europe</x:t>
        </x:is>
      </x:c>
      <x:c r="F30" t="inlineStr">
        <x:is>
          <x:t xml:space="preserve">HR</x:t>
        </x:is>
      </x:c>
      <x:c r="G30" t="inlineStr">
        <x:is>
          <x:t xml:space="preserve">SaaS / Cloud services</x:t>
        </x:is>
      </x:c>
      <x:c r="H30" t="inlineStr">
        <x:is>
          <x:t xml:space="preserve">Technology vendor</x:t>
        </x:is>
      </x:c>
      <x:c r="I30" t="inlineStr">
        <x:is>
          <x:t xml:space="preserve">Pinemark Software Ltd</x:t>
        </x:is>
      </x:c>
      <x:c r="J30" t="inlineStr">
        <x:is>
          <x:t xml:space="preserve">Audit rights</x:t>
        </x:is>
      </x:c>
      <x:c r="K30" t="inlineStr">
        <x:is>
          <x:t xml:space="preserve">None</x:t>
        </x:is>
      </x:c>
      <x:c r="L30" t="inlineStr">
        <x:is>
          <x:t xml:space="preserve">None / public</x:t>
        </x:is>
      </x:c>
      <x:c r="M30" t="inlineStr">
        <x:is>
          <x:t xml:space="preserve">None</x:t>
        </x:is>
      </x:c>
      <x:c r="N30" t="inlineStr">
        <x:is>
          <x:t xml:space="preserve">Single market</x:t>
        </x:is>
      </x:c>
      <x:c r="O30" t="n">
        <x:v>1</x:v>
      </x:c>
      <x:c r="P30" t="n">
        <x:v>2</x:v>
      </x:c>
      <x:c r="Q30" t="n">
        <x:v>2</x:v>
      </x:c>
      <x:c r="R30" t="inlineStr">
        <x:is>
          <x:t xml:space="preserve">Low</x:t>
        </x:is>
      </x:c>
      <x:c r="S30" t="inlineStr">
        <x:is>
          <x:t xml:space="preserve">Digital &amp; Data Legal</x:t>
        </x:is>
      </x:c>
      <x:c r="T30" s="9" t="n">
        <x:v>46127</x:v>
      </x:c>
      <x:c r="U30" t="inlineStr">
        <x:is>
          <x:t xml:space="preserve">Closed</x:t>
        </x:is>
      </x:c>
      <x:c r="V30" t="inlineStr">
        <x:is>
          <x:t xml:space="preserve">No</x:t>
        </x:is>
      </x:c>
      <x:c r="W30" t="n">
        <x:v>11</x:v>
      </x:c>
      <x:c r="X30" t="inlineStr">
        <x:is>
          <x:t xml:space="preserve">Synthetic - CIE training only</x:t>
        </x:is>
      </x:c>
    </x:row>
    <x:row r="31">
      <x:c r="A31" t="inlineStr">
        <x:is>
          <x:t xml:space="preserve">LGL-26-0026</x:t>
        </x:is>
      </x:c>
      <x:c r="B31" s="9" t="n">
        <x:v>46067</x:v>
      </x:c>
      <x:c r="C31" t="inlineStr">
        <x:is>
          <x:t xml:space="preserve">Q1 2026</x:t>
        </x:is>
      </x:c>
      <x:c r="D31" t="inlineStr">
        <x:is>
          <x:t xml:space="preserve">Indonesia</x:t>
        </x:is>
      </x:c>
      <x:c r="E31" t="inlineStr">
        <x:is>
          <x:t xml:space="preserve">Asia-Pacific</x:t>
        </x:is>
      </x:c>
      <x:c r="F31" t="inlineStr">
        <x:is>
          <x:t xml:space="preserve">Marketing</x:t>
        </x:is>
      </x:c>
      <x:c r="G31" t="inlineStr">
        <x:is>
          <x:t xml:space="preserve">Professional services</x:t>
        </x:is>
      </x:c>
      <x:c r="H31" t="inlineStr">
        <x:is>
          <x:t xml:space="preserve">Consultancy</x:t>
        </x:is>
      </x:c>
      <x:c r="I31" t="inlineStr">
        <x:is>
          <x:t xml:space="preserve">Meridian Ridge Advisory</x:t>
        </x:is>
      </x:c>
      <x:c r="J31" t="inlineStr">
        <x:is>
          <x:t xml:space="preserve">Limitation of liability</x:t>
        </x:is>
      </x:c>
      <x:c r="K31" t="inlineStr">
        <x:is>
          <x:t xml:space="preserve">None</x:t>
        </x:is>
      </x:c>
      <x:c r="L31" t="inlineStr">
        <x:is>
          <x:t xml:space="preserve">Personal data - consumer (adult)</x:t>
        </x:is>
      </x:c>
      <x:c r="M31" t="inlineStr">
        <x:is>
          <x:t xml:space="preserve">None</x:t>
        </x:is>
      </x:c>
      <x:c r="N31" t="inlineStr">
        <x:is>
          <x:t xml:space="preserve">Single market</x:t>
        </x:is>
      </x:c>
      <x:c r="O31" t="n">
        <x:v>1</x:v>
      </x:c>
      <x:c r="P31" t="n">
        <x:v>3</x:v>
      </x:c>
      <x:c r="Q31" t="n">
        <x:v>3</x:v>
      </x:c>
      <x:c r="R31" t="inlineStr">
        <x:is>
          <x:t xml:space="preserve">Low</x:t>
        </x:is>
      </x:c>
      <x:c r="S31" t="inlineStr">
        <x:is>
          <x:t xml:space="preserve">Commercial Legal</x:t>
        </x:is>
      </x:c>
      <x:c r="T31" s="9" t="n">
        <x:v>46090</x:v>
      </x:c>
      <x:c r="U31" t="inlineStr">
        <x:is>
          <x:t xml:space="preserve">Closed</x:t>
        </x:is>
      </x:c>
      <x:c r="V31" t="inlineStr">
        <x:is>
          <x:t xml:space="preserve">No</x:t>
        </x:is>
      </x:c>
      <x:c r="W31" t="n">
        <x:v>9</x:v>
      </x:c>
      <x:c r="X31" t="inlineStr">
        <x:is>
          <x:t xml:space="preserve">Synthetic - CIE training only</x:t>
        </x:is>
      </x:c>
    </x:row>
    <x:row r="32">
      <x:c r="A32" t="inlineStr">
        <x:is>
          <x:t xml:space="preserve">LGL-26-0027</x:t>
        </x:is>
      </x:c>
      <x:c r="B32" s="9" t="n">
        <x:v>46057</x:v>
      </x:c>
      <x:c r="C32" t="inlineStr">
        <x:is>
          <x:t xml:space="preserve">Q1 2026</x:t>
        </x:is>
      </x:c>
      <x:c r="D32" t="inlineStr">
        <x:is>
          <x:t xml:space="preserve">South Africa</x:t>
        </x:is>
      </x:c>
      <x:c r="E32" t="inlineStr">
        <x:is>
          <x:t xml:space="preserve">Middle East &amp; Africa</x:t>
        </x:is>
      </x:c>
      <x:c r="F32" t="inlineStr">
        <x:is>
          <x:t xml:space="preserve">Procurement</x:t>
        </x:is>
      </x:c>
      <x:c r="G32" t="inlineStr">
        <x:is>
          <x:t xml:space="preserve">Marketing agency agreement</x:t>
        </x:is>
      </x:c>
      <x:c r="H32" t="inlineStr">
        <x:is>
          <x:t xml:space="preserve">Agency</x:t>
        </x:is>
      </x:c>
      <x:c r="I32" t="inlineStr">
        <x:is>
          <x:t xml:space="preserve">Saffron Lane Media</x:t>
        </x:is>
      </x:c>
      <x:c r="J32" t="inlineStr">
        <x:is>
          <x:t xml:space="preserve">Confidentiality</x:t>
        </x:is>
      </x:c>
      <x:c r="K32" t="inlineStr">
        <x:is>
          <x:t xml:space="preserve">None</x:t>
        </x:is>
      </x:c>
      <x:c r="L32" t="inlineStr">
        <x:is>
          <x:t xml:space="preserve">Personal data - consumer (adult)</x:t>
        </x:is>
      </x:c>
      <x:c r="M32" t="inlineStr">
        <x:is>
          <x:t xml:space="preserve">None</x:t>
        </x:is>
      </x:c>
      <x:c r="N32" t="inlineStr">
        <x:is>
          <x:t xml:space="preserve">Single market</x:t>
        </x:is>
      </x:c>
      <x:c r="O32" t="n">
        <x:v>1</x:v>
      </x:c>
      <x:c r="P32" t="n">
        <x:v>3</x:v>
      </x:c>
      <x:c r="Q32" t="n">
        <x:v>3</x:v>
      </x:c>
      <x:c r="R32" t="inlineStr">
        <x:is>
          <x:t xml:space="preserve">Low</x:t>
        </x:is>
      </x:c>
      <x:c r="S32" t="inlineStr">
        <x:is>
          <x:t xml:space="preserve">Commercial Legal</x:t>
        </x:is>
      </x:c>
      <x:c r="T32" s="9" t="n">
        <x:v>46081</x:v>
      </x:c>
      <x:c r="U32" t="inlineStr">
        <x:is>
          <x:t xml:space="preserve">Closed</x:t>
        </x:is>
      </x:c>
      <x:c r="V32" t="inlineStr">
        <x:is>
          <x:t xml:space="preserve">No</x:t>
        </x:is>
      </x:c>
      <x:c r="W32" t="n">
        <x:v>12</x:v>
      </x:c>
      <x:c r="X32" t="inlineStr">
        <x:is>
          <x:t xml:space="preserve">Synthetic - CIE training only</x:t>
        </x:is>
      </x:c>
    </x:row>
    <x:row r="33">
      <x:c r="A33" t="inlineStr">
        <x:is>
          <x:t xml:space="preserve">LGL-26-0028</x:t>
        </x:is>
      </x:c>
      <x:c r="B33" s="9" t="n">
        <x:v>46082</x:v>
      </x:c>
      <x:c r="C33" t="inlineStr">
        <x:is>
          <x:t xml:space="preserve">Q1 2026</x:t>
        </x:is>
      </x:c>
      <x:c r="D33" t="inlineStr">
        <x:is>
          <x:t xml:space="preserve">Romania</x:t>
        </x:is>
      </x:c>
      <x:c r="E33" t="inlineStr">
        <x:is>
          <x:t xml:space="preserve">Europe</x:t>
        </x:is>
      </x:c>
      <x:c r="F33" t="inlineStr">
        <x:is>
          <x:t xml:space="preserve">Corporate Affairs</x:t>
        </x:is>
      </x:c>
      <x:c r="G33" t="inlineStr">
        <x:is>
          <x:t xml:space="preserve">Professional services</x:t>
        </x:is>
      </x:c>
      <x:c r="H33" t="inlineStr">
        <x:is>
          <x:t xml:space="preserve">Consultancy</x:t>
        </x:is>
      </x:c>
      <x:c r="I33" t="inlineStr">
        <x:is>
          <x:t xml:space="preserve">Oakhurst Consulting LLP</x:t>
        </x:is>
      </x:c>
      <x:c r="J33" t="inlineStr">
        <x:is>
          <x:t xml:space="preserve">Limitation of liability</x:t>
        </x:is>
      </x:c>
      <x:c r="K33" t="inlineStr">
        <x:is>
          <x:t xml:space="preserve">None</x:t>
        </x:is>
      </x:c>
      <x:c r="L33" t="inlineStr">
        <x:is>
          <x:t xml:space="preserve">Business confidential</x:t>
        </x:is>
      </x:c>
      <x:c r="M33" t="inlineStr">
        <x:is>
          <x:t xml:space="preserve">None</x:t>
        </x:is>
      </x:c>
      <x:c r="N33" t="inlineStr">
        <x:is>
          <x:t xml:space="preserve">Single market</x:t>
        </x:is>
      </x:c>
      <x:c r="O33" t="n">
        <x:v>1</x:v>
      </x:c>
      <x:c r="P33" t="n">
        <x:v>3</x:v>
      </x:c>
      <x:c r="Q33" t="n">
        <x:v>3</x:v>
      </x:c>
      <x:c r="R33" t="inlineStr">
        <x:is>
          <x:t xml:space="preserve">Low</x:t>
        </x:is>
      </x:c>
      <x:c r="S33" t="inlineStr">
        <x:is>
          <x:t xml:space="preserve">Commercial Legal</x:t>
        </x:is>
      </x:c>
      <x:c r="T33" s="9" t="n">
        <x:v>46106</x:v>
      </x:c>
      <x:c r="U33" t="inlineStr">
        <x:is>
          <x:t xml:space="preserve">Closed</x:t>
        </x:is>
      </x:c>
      <x:c r="V33" t="inlineStr">
        <x:is>
          <x:t xml:space="preserve">No</x:t>
        </x:is>
      </x:c>
      <x:c r="W33" t="n">
        <x:v>2</x:v>
      </x:c>
      <x:c r="X33" t="inlineStr">
        <x:is>
          <x:t xml:space="preserve">Synthetic - CIE training only</x:t>
        </x:is>
      </x:c>
    </x:row>
    <x:row r="34">
      <x:c r="A34" t="inlineStr">
        <x:is>
          <x:t xml:space="preserve">LGL-26-0029</x:t>
        </x:is>
      </x:c>
      <x:c r="B34" s="9" t="n">
        <x:v>46077</x:v>
      </x:c>
      <x:c r="C34" t="inlineStr">
        <x:is>
          <x:t xml:space="preserve">Q1 2026</x:t>
        </x:is>
      </x:c>
      <x:c r="D34" t="inlineStr">
        <x:is>
          <x:t xml:space="preserve">Indonesia</x:t>
        </x:is>
      </x:c>
      <x:c r="E34" t="inlineStr">
        <x:is>
          <x:t xml:space="preserve">Asia-Pacific</x:t>
        </x:is>
      </x:c>
      <x:c r="F34" t="inlineStr">
        <x:is>
          <x:t xml:space="preserve">Procurement</x:t>
        </x:is>
      </x:c>
      <x:c r="G34" t="inlineStr">
        <x:is>
          <x:t xml:space="preserve">Software licence</x:t>
        </x:is>
      </x:c>
      <x:c r="H34" t="inlineStr">
        <x:is>
          <x:t xml:space="preserve">Technology vendor</x:t>
        </x:is>
      </x:c>
      <x:c r="I34" t="inlineStr">
        <x:is>
          <x:t xml:space="preserve">Pinemark Software Ltd</x:t>
        </x:is>
      </x:c>
      <x:c r="J34" t="inlineStr">
        <x:is>
          <x:t xml:space="preserve">Confidentiality</x:t>
        </x:is>
      </x:c>
      <x:c r="K34" t="inlineStr">
        <x:is>
          <x:t xml:space="preserve">Minor</x:t>
        </x:is>
      </x:c>
      <x:c r="L34" t="inlineStr">
        <x:is>
          <x:t xml:space="preserve">None / public</x:t>
        </x:is>
      </x:c>
      <x:c r="M34" t="inlineStr">
        <x:is>
          <x:t xml:space="preserve">None</x:t>
        </x:is>
      </x:c>
      <x:c r="N34" t="inlineStr">
        <x:is>
          <x:t xml:space="preserve">Single market</x:t>
        </x:is>
      </x:c>
      <x:c r="O34" t="n">
        <x:v>2</x:v>
      </x:c>
      <x:c r="P34" t="n">
        <x:v>2</x:v>
      </x:c>
      <x:c r="Q34" t="n">
        <x:v>4</x:v>
      </x:c>
      <x:c r="R34" t="inlineStr">
        <x:is>
          <x:t xml:space="preserve">Low</x:t>
        </x:is>
      </x:c>
      <x:c r="S34" t="inlineStr">
        <x:is>
          <x:t xml:space="preserve">Commercial Legal</x:t>
        </x:is>
      </x:c>
      <x:c r="T34" s="9" t="n">
        <x:v>46099</x:v>
      </x:c>
      <x:c r="U34" t="inlineStr">
        <x:is>
          <x:t xml:space="preserve">Closed</x:t>
        </x:is>
      </x:c>
      <x:c r="V34" t="inlineStr">
        <x:is>
          <x:t xml:space="preserve">No</x:t>
        </x:is>
      </x:c>
      <x:c r="W34" t="n">
        <x:v>2</x:v>
      </x:c>
      <x:c r="X34" t="inlineStr">
        <x:is>
          <x:t xml:space="preserve">Synthetic - CIE training only</x:t>
        </x:is>
      </x:c>
    </x:row>
    <x:row r="35">
      <x:c r="A35" t="inlineStr">
        <x:is>
          <x:t xml:space="preserve">LGL-26-0030</x:t>
        </x:is>
      </x:c>
      <x:c r="B35" s="9" t="n">
        <x:v>46091</x:v>
      </x:c>
      <x:c r="C35" t="inlineStr">
        <x:is>
          <x:t xml:space="preserve">Q1 2026</x:t>
        </x:is>
      </x:c>
      <x:c r="D35" t="inlineStr">
        <x:is>
          <x:t xml:space="preserve">Brazil</x:t>
        </x:is>
      </x:c>
      <x:c r="E35" t="inlineStr">
        <x:is>
          <x:t xml:space="preserve">Americas</x:t>
        </x:is>
      </x:c>
      <x:c r="F35" t="inlineStr">
        <x:is>
          <x:t xml:space="preserve">Digital &amp; IT</x:t>
        </x:is>
      </x:c>
      <x:c r="G35" t="inlineStr">
        <x:is>
          <x:t xml:space="preserve">NDA</x:t>
        </x:is>
      </x:c>
      <x:c r="H35" t="inlineStr">
        <x:is>
          <x:t xml:space="preserve">Distributor</x:t>
        </x:is>
      </x:c>
      <x:c r="I35" t="inlineStr">
        <x:is>
          <x:t xml:space="preserve">Granite Coast Distribution</x:t>
        </x:is>
      </x:c>
      <x:c r="J35" t="inlineStr">
        <x:is>
          <x:t xml:space="preserve">Termination</x:t>
        </x:is>
      </x:c>
      <x:c r="K35" t="inlineStr">
        <x:is>
          <x:t xml:space="preserve">Minor</x:t>
        </x:is>
      </x:c>
      <x:c r="L35" t="inlineStr">
        <x:is>
          <x:t xml:space="preserve">Business confidential</x:t>
        </x:is>
      </x:c>
      <x:c r="M35" t="inlineStr">
        <x:is>
          <x:t xml:space="preserve">None</x:t>
        </x:is>
      </x:c>
      <x:c r="N35" t="inlineStr">
        <x:is>
          <x:t xml:space="preserve">Single market</x:t>
        </x:is>
      </x:c>
      <x:c r="O35" t="n">
        <x:v>1</x:v>
      </x:c>
      <x:c r="P35" t="n">
        <x:v>1</x:v>
      </x:c>
      <x:c r="Q35" t="n">
        <x:v>1</x:v>
      </x:c>
      <x:c r="R35" t="inlineStr">
        <x:is>
          <x:t xml:space="preserve">Low</x:t>
        </x:is>
      </x:c>
      <x:c r="S35" t="inlineStr">
        <x:is>
          <x:t xml:space="preserve">Commercial Legal</x:t>
        </x:is>
      </x:c>
      <x:c r="T35" s="9" t="n">
        <x:v>46116</x:v>
      </x:c>
      <x:c r="U35" t="inlineStr">
        <x:is>
          <x:t xml:space="preserve">Closed</x:t>
        </x:is>
      </x:c>
      <x:c r="V35" t="inlineStr">
        <x:is>
          <x:t xml:space="preserve">No</x:t>
        </x:is>
      </x:c>
      <x:c r="W35" t="n">
        <x:v>8</x:v>
      </x:c>
      <x:c r="X35" t="inlineStr">
        <x:is>
          <x:t xml:space="preserve">Synthetic - CIE training only</x:t>
        </x:is>
      </x:c>
    </x:row>
    <x:row r="36">
      <x:c r="A36" t="inlineStr">
        <x:is>
          <x:t xml:space="preserve">LGL-26-0031</x:t>
        </x:is>
      </x:c>
      <x:c r="B36" s="9" t="n">
        <x:v>46105</x:v>
      </x:c>
      <x:c r="C36" t="inlineStr">
        <x:is>
          <x:t xml:space="preserve">Q1 2026</x:t>
        </x:is>
      </x:c>
      <x:c r="D36" t="inlineStr">
        <x:is>
          <x:t xml:space="preserve">Mexico</x:t>
        </x:is>
      </x:c>
      <x:c r="E36" t="inlineStr">
        <x:is>
          <x:t xml:space="preserve">Americas</x:t>
        </x:is>
      </x:c>
      <x:c r="F36" t="inlineStr">
        <x:is>
          <x:t xml:space="preserve">Operations</x:t>
        </x:is>
      </x:c>
      <x:c r="G36" t="inlineStr">
        <x:is>
          <x:t xml:space="preserve">Software licence</x:t>
        </x:is>
      </x:c>
      <x:c r="H36" t="inlineStr">
        <x:is>
          <x:t xml:space="preserve">Technology vendor</x:t>
        </x:is>
      </x:c>
      <x:c r="I36" t="inlineStr">
        <x:is>
          <x:t xml:space="preserve">Arcbridge Cloud Ltd</x:t>
        </x:is>
      </x:c>
      <x:c r="J36" t="inlineStr">
        <x:is>
          <x:t xml:space="preserve">Limitation of liability</x:t>
        </x:is>
      </x:c>
      <x:c r="K36" t="inlineStr">
        <x:is>
          <x:t xml:space="preserve">None</x:t>
        </x:is>
      </x:c>
      <x:c r="L36" t="inlineStr">
        <x:is>
          <x:t xml:space="preserve">Business confidential</x:t>
        </x:is>
      </x:c>
      <x:c r="M36" t="inlineStr">
        <x:is>
          <x:t xml:space="preserve">None</x:t>
        </x:is>
      </x:c>
      <x:c r="N36" t="inlineStr">
        <x:is>
          <x:t xml:space="preserve">Single market</x:t>
        </x:is>
      </x:c>
      <x:c r="O36" t="n">
        <x:v>2</x:v>
      </x:c>
      <x:c r="P36" t="n">
        <x:v>3</x:v>
      </x:c>
      <x:c r="Q36" t="n">
        <x:v>6</x:v>
      </x:c>
      <x:c r="R36" t="inlineStr">
        <x:is>
          <x:t xml:space="preserve">Medium</x:t>
        </x:is>
      </x:c>
      <x:c r="S36" t="inlineStr">
        <x:is>
          <x:t xml:space="preserve">Commercial Legal</x:t>
        </x:is>
      </x:c>
      <x:c r="T36" s="9" t="n">
        <x:v>46122</x:v>
      </x:c>
      <x:c r="U36" t="inlineStr">
        <x:is>
          <x:t xml:space="preserve">Closed</x:t>
        </x:is>
      </x:c>
      <x:c r="V36" t="inlineStr">
        <x:is>
          <x:t xml:space="preserve">No</x:t>
        </x:is>
      </x:c>
      <x:c r="W36" t="n">
        <x:v>5</x:v>
      </x:c>
      <x:c r="X36" t="inlineStr">
        <x:is>
          <x:t xml:space="preserve">Synthetic - CIE training only</x:t>
        </x:is>
      </x:c>
    </x:row>
    <x:row r="37">
      <x:c r="A37" t="inlineStr">
        <x:is>
          <x:t xml:space="preserve">LGL-26-0032</x:t>
        </x:is>
      </x:c>
      <x:c r="B37" s="9" t="n">
        <x:v>46050</x:v>
      </x:c>
      <x:c r="C37" t="inlineStr">
        <x:is>
          <x:t xml:space="preserve">Q1 2026</x:t>
        </x:is>
      </x:c>
      <x:c r="D37" t="inlineStr">
        <x:is>
          <x:t xml:space="preserve">Germany</x:t>
        </x:is>
      </x:c>
      <x:c r="E37" t="inlineStr">
        <x:is>
          <x:t xml:space="preserve">Europe</x:t>
        </x:is>
      </x:c>
      <x:c r="F37" t="inlineStr">
        <x:is>
          <x:t xml:space="preserve">Finance</x:t>
        </x:is>
      </x:c>
      <x:c r="G37" t="inlineStr">
        <x:is>
          <x:t xml:space="preserve">Software licence</x:t>
        </x:is>
      </x:c>
      <x:c r="H37" t="inlineStr">
        <x:is>
          <x:t xml:space="preserve">Technology vendor</x:t>
        </x:is>
      </x:c>
      <x:c r="I37" t="inlineStr">
        <x:is>
          <x:t xml:space="preserve">Arcbridge Cloud Ltd</x:t>
        </x:is>
      </x:c>
      <x:c r="J37" t="inlineStr">
        <x:is>
          <x:t xml:space="preserve">Confidentiality</x:t>
        </x:is>
      </x:c>
      <x:c r="K37" t="inlineStr">
        <x:is>
          <x:t xml:space="preserve">Major</x:t>
        </x:is>
      </x:c>
      <x:c r="L37" t="inlineStr">
        <x:is>
          <x:t xml:space="preserve">Business confidential</x:t>
        </x:is>
      </x:c>
      <x:c r="M37" t="inlineStr">
        <x:is>
          <x:t xml:space="preserve">None</x:t>
        </x:is>
      </x:c>
      <x:c r="N37" t="inlineStr">
        <x:is>
          <x:t xml:space="preserve">Single market</x:t>
        </x:is>
      </x:c>
      <x:c r="O37" t="n">
        <x:v>2</x:v>
      </x:c>
      <x:c r="P37" t="n">
        <x:v>1</x:v>
      </x:c>
      <x:c r="Q37" t="n">
        <x:v>2</x:v>
      </x:c>
      <x:c r="R37" t="inlineStr">
        <x:is>
          <x:t xml:space="preserve">Low</x:t>
        </x:is>
      </x:c>
      <x:c r="S37" t="inlineStr">
        <x:is>
          <x:t xml:space="preserve">Commercial Legal</x:t>
        </x:is>
      </x:c>
      <x:c r="T37" s="9" t="n">
        <x:v>46074</x:v>
      </x:c>
      <x:c r="U37" t="inlineStr">
        <x:is>
          <x:t xml:space="preserve">Closed</x:t>
        </x:is>
      </x:c>
      <x:c r="V37" t="inlineStr">
        <x:is>
          <x:t xml:space="preserve">No</x:t>
        </x:is>
      </x:c>
      <x:c r="W37" t="n">
        <x:v>5</x:v>
      </x:c>
      <x:c r="X37" t="inlineStr">
        <x:is>
          <x:t xml:space="preserve">Synthetic - CIE training only</x:t>
        </x:is>
      </x:c>
    </x:row>
    <x:row r="38">
      <x:c r="A38" t="inlineStr">
        <x:is>
          <x:t xml:space="preserve">LGL-26-0033</x:t>
        </x:is>
      </x:c>
      <x:c r="B38" s="9" t="n">
        <x:v>46083</x:v>
      </x:c>
      <x:c r="C38" t="inlineStr">
        <x:is>
          <x:t xml:space="preserve">Q1 2026</x:t>
        </x:is>
      </x:c>
      <x:c r="D38" t="inlineStr">
        <x:is>
          <x:t xml:space="preserve">United Kingdom</x:t>
        </x:is>
      </x:c>
      <x:c r="E38" t="inlineStr">
        <x:is>
          <x:t xml:space="preserve">Europe</x:t>
        </x:is>
      </x:c>
      <x:c r="F38" t="inlineStr">
        <x:is>
          <x:t xml:space="preserve">Marketing</x:t>
        </x:is>
      </x:c>
      <x:c r="G38" t="inlineStr">
        <x:is>
          <x:t xml:space="preserve">SaaS / Cloud services</x:t>
        </x:is>
      </x:c>
      <x:c r="H38" t="inlineStr">
        <x:is>
          <x:t xml:space="preserve">Technology vendor</x:t>
        </x:is>
      </x:c>
      <x:c r="I38" t="inlineStr">
        <x:is>
          <x:t xml:space="preserve">Tessaro Systems BV</x:t>
        </x:is>
      </x:c>
      <x:c r="J38" t="inlineStr">
        <x:is>
          <x:t xml:space="preserve">Governing law</x:t>
        </x:is>
      </x:c>
      <x:c r="K38" t="inlineStr">
        <x:is>
          <x:t xml:space="preserve">Major</x:t>
        </x:is>
      </x:c>
      <x:c r="L38" t="inlineStr">
        <x:is>
          <x:t xml:space="preserve">Business confidential</x:t>
        </x:is>
      </x:c>
      <x:c r="M38" t="inlineStr">
        <x:is>
          <x:t xml:space="preserve">None</x:t>
        </x:is>
      </x:c>
      <x:c r="N38" t="inlineStr">
        <x:is>
          <x:t xml:space="preserve">Single market</x:t>
        </x:is>
      </x:c>
      <x:c r="O38" t="n">
        <x:v>2</x:v>
      </x:c>
      <x:c r="P38" t="n">
        <x:v>2</x:v>
      </x:c>
      <x:c r="Q38" t="n">
        <x:v>4</x:v>
      </x:c>
      <x:c r="R38" t="inlineStr">
        <x:is>
          <x:t xml:space="preserve">Low</x:t>
        </x:is>
      </x:c>
      <x:c r="S38" t="inlineStr">
        <x:is>
          <x:t xml:space="preserve">Market Counsel</x:t>
        </x:is>
      </x:c>
      <x:c r="T38" s="9" t="n">
        <x:v>46104</x:v>
      </x:c>
      <x:c r="U38" t="inlineStr">
        <x:is>
          <x:t xml:space="preserve">Closed</x:t>
        </x:is>
      </x:c>
      <x:c r="V38" t="inlineStr">
        <x:is>
          <x:t xml:space="preserve">No</x:t>
        </x:is>
      </x:c>
      <x:c r="W38" t="n">
        <x:v>10</x:v>
      </x:c>
      <x:c r="X38" t="inlineStr">
        <x:is>
          <x:t xml:space="preserve">Synthetic - CIE training only</x:t>
        </x:is>
      </x:c>
    </x:row>
    <x:row r="39">
      <x:c r="A39" t="inlineStr">
        <x:is>
          <x:t xml:space="preserve">LGL-26-0034</x:t>
        </x:is>
      </x:c>
      <x:c r="B39" s="9" t="n">
        <x:v>46057</x:v>
      </x:c>
      <x:c r="C39" t="inlineStr">
        <x:is>
          <x:t xml:space="preserve">Q1 2026</x:t>
        </x:is>
      </x:c>
      <x:c r="D39" t="inlineStr">
        <x:is>
          <x:t xml:space="preserve">Mexico</x:t>
        </x:is>
      </x:c>
      <x:c r="E39" t="inlineStr">
        <x:is>
          <x:t xml:space="preserve">Americas</x:t>
        </x:is>
      </x:c>
      <x:c r="F39" t="inlineStr">
        <x:is>
          <x:t xml:space="preserve">Operations</x:t>
        </x:is>
      </x:c>
      <x:c r="G39" t="inlineStr">
        <x:is>
          <x:t xml:space="preserve">Distribution agreement</x:t>
        </x:is>
      </x:c>
      <x:c r="H39" t="inlineStr">
        <x:is>
          <x:t xml:space="preserve">Distributor</x:t>
        </x:is>
      </x:c>
      <x:c r="I39" t="inlineStr">
        <x:is>
          <x:t xml:space="preserve">Granite Coast Distribution</x:t>
        </x:is>
      </x:c>
      <x:c r="J39" t="inlineStr">
        <x:is>
          <x:t xml:space="preserve">Limitation of liability</x:t>
        </x:is>
      </x:c>
      <x:c r="K39" t="inlineStr">
        <x:is>
          <x:t xml:space="preserve">None</x:t>
        </x:is>
      </x:c>
      <x:c r="L39" t="inlineStr">
        <x:is>
          <x:t xml:space="preserve">Business confidential</x:t>
        </x:is>
      </x:c>
      <x:c r="M39" t="inlineStr">
        <x:is>
          <x:t xml:space="preserve">None</x:t>
        </x:is>
      </x:c>
      <x:c r="N39" t="inlineStr">
        <x:is>
          <x:t xml:space="preserve">Single market</x:t>
        </x:is>
      </x:c>
      <x:c r="O39" t="n">
        <x:v>2</x:v>
      </x:c>
      <x:c r="P39" t="n">
        <x:v>2</x:v>
      </x:c>
      <x:c r="Q39" t="n">
        <x:v>4</x:v>
      </x:c>
      <x:c r="R39" t="inlineStr">
        <x:is>
          <x:t xml:space="preserve">Low</x:t>
        </x:is>
      </x:c>
      <x:c r="S39" t="inlineStr">
        <x:is>
          <x:t xml:space="preserve">Commercial Legal</x:t>
        </x:is>
      </x:c>
      <x:c r="T39" s="9" t="n">
        <x:v>46077</x:v>
      </x:c>
      <x:c r="U39" t="inlineStr">
        <x:is>
          <x:t xml:space="preserve">Closed</x:t>
        </x:is>
      </x:c>
      <x:c r="V39" t="inlineStr">
        <x:is>
          <x:t xml:space="preserve">No</x:t>
        </x:is>
      </x:c>
      <x:c r="W39" t="n">
        <x:v>9</x:v>
      </x:c>
      <x:c r="X39" t="inlineStr">
        <x:is>
          <x:t xml:space="preserve">Synthetic - CIE training only</x:t>
        </x:is>
      </x:c>
    </x:row>
    <x:row r="40">
      <x:c r="A40" t="inlineStr">
        <x:is>
          <x:t xml:space="preserve">LGL-26-0035</x:t>
        </x:is>
      </x:c>
      <x:c r="B40" s="9" t="n">
        <x:v>46023</x:v>
      </x:c>
      <x:c r="C40" t="inlineStr">
        <x:is>
          <x:t xml:space="preserve">Q1 2026</x:t>
        </x:is>
      </x:c>
      <x:c r="D40" t="inlineStr">
        <x:is>
          <x:t xml:space="preserve">Poland</x:t>
        </x:is>
      </x:c>
      <x:c r="E40" t="inlineStr">
        <x:is>
          <x:t xml:space="preserve">Europe</x:t>
        </x:is>
      </x:c>
      <x:c r="F40" t="inlineStr">
        <x:is>
          <x:t xml:space="preserve">Marketing</x:t>
        </x:is>
      </x:c>
      <x:c r="G40" t="inlineStr">
        <x:is>
          <x:t xml:space="preserve">SaaS / Cloud services</x:t>
        </x:is>
      </x:c>
      <x:c r="H40" t="inlineStr">
        <x:is>
          <x:t xml:space="preserve">Technology vendor</x:t>
        </x:is>
      </x:c>
      <x:c r="I40" t="inlineStr">
        <x:is>
          <x:t xml:space="preserve">Halcyon Workflow Inc</x:t>
        </x:is>
      </x:c>
      <x:c r="J40" t="inlineStr">
        <x:is>
          <x:t xml:space="preserve">Confidentiality</x:t>
        </x:is>
      </x:c>
      <x:c r="K40" t="inlineStr">
        <x:is>
          <x:t xml:space="preserve">None</x:t>
        </x:is>
      </x:c>
      <x:c r="L40" t="inlineStr">
        <x:is>
          <x:t xml:space="preserve">None / public</x:t>
        </x:is>
      </x:c>
      <x:c r="M40" t="inlineStr">
        <x:is>
          <x:t xml:space="preserve">None</x:t>
        </x:is>
      </x:c>
      <x:c r="N40" t="inlineStr">
        <x:is>
          <x:t xml:space="preserve">Single market</x:t>
        </x:is>
      </x:c>
      <x:c r="O40" t="n">
        <x:v>1</x:v>
      </x:c>
      <x:c r="P40" t="n">
        <x:v>3</x:v>
      </x:c>
      <x:c r="Q40" t="n">
        <x:v>3</x:v>
      </x:c>
      <x:c r="R40" t="inlineStr">
        <x:is>
          <x:t xml:space="preserve">Low</x:t>
        </x:is>
      </x:c>
      <x:c r="S40" t="inlineStr">
        <x:is>
          <x:t xml:space="preserve">Commercial Legal</x:t>
        </x:is>
      </x:c>
      <x:c r="T40" s="9" t="n">
        <x:v>46046</x:v>
      </x:c>
      <x:c r="U40" t="inlineStr">
        <x:is>
          <x:t xml:space="preserve">Closed</x:t>
        </x:is>
      </x:c>
      <x:c r="V40" t="inlineStr">
        <x:is>
          <x:t xml:space="preserve">No</x:t>
        </x:is>
      </x:c>
      <x:c r="W40" t="n">
        <x:v>9</x:v>
      </x:c>
      <x:c r="X40" t="inlineStr">
        <x:is>
          <x:t xml:space="preserve">Synthetic - CIE training only</x:t>
        </x:is>
      </x:c>
    </x:row>
    <x:row r="41">
      <x:c r="A41" t="inlineStr">
        <x:is>
          <x:t xml:space="preserve">LGL-26-0036</x:t>
        </x:is>
      </x:c>
      <x:c r="B41" s="9" t="n">
        <x:v>46066</x:v>
      </x:c>
      <x:c r="C41" t="inlineStr">
        <x:is>
          <x:t xml:space="preserve">Q1 2026</x:t>
        </x:is>
      </x:c>
      <x:c r="D41" t="inlineStr">
        <x:is>
          <x:t xml:space="preserve">Indonesia</x:t>
        </x:is>
      </x:c>
      <x:c r="E41" t="inlineStr">
        <x:is>
          <x:t xml:space="preserve">Asia-Pacific</x:t>
        </x:is>
      </x:c>
      <x:c r="F41" t="inlineStr">
        <x:is>
          <x:t xml:space="preserve">Corporate Affairs</x:t>
        </x:is>
      </x:c>
      <x:c r="G41" t="inlineStr">
        <x:is>
          <x:t xml:space="preserve">NDA</x:t>
        </x:is>
      </x:c>
      <x:c r="H41" t="inlineStr">
        <x:is>
          <x:t xml:space="preserve">Distributor</x:t>
        </x:is>
      </x:c>
      <x:c r="I41" t="inlineStr">
        <x:is>
          <x:t xml:space="preserve">Granite Coast Distribution</x:t>
        </x:is>
      </x:c>
      <x:c r="J41" t="inlineStr">
        <x:is>
          <x:t xml:space="preserve">Sub-processors</x:t>
        </x:is>
      </x:c>
      <x:c r="K41" t="inlineStr">
        <x:is>
          <x:t xml:space="preserve">None</x:t>
        </x:is>
      </x:c>
      <x:c r="L41" t="inlineStr">
        <x:is>
          <x:t xml:space="preserve">None / public</x:t>
        </x:is>
      </x:c>
      <x:c r="M41" t="inlineStr">
        <x:is>
          <x:t xml:space="preserve">None</x:t>
        </x:is>
      </x:c>
      <x:c r="N41" t="inlineStr">
        <x:is>
          <x:t xml:space="preserve">Single market</x:t>
        </x:is>
      </x:c>
      <x:c r="O41" t="n">
        <x:v>2</x:v>
      </x:c>
      <x:c r="P41" t="n">
        <x:v>2</x:v>
      </x:c>
      <x:c r="Q41" t="n">
        <x:v>4</x:v>
      </x:c>
      <x:c r="R41" t="inlineStr">
        <x:is>
          <x:t xml:space="preserve">Low</x:t>
        </x:is>
      </x:c>
      <x:c r="S41" t="inlineStr">
        <x:is>
          <x:t xml:space="preserve">Privacy Office</x:t>
        </x:is>
      </x:c>
      <x:c r="T41" s="9" t="n">
        <x:v>46090</x:v>
      </x:c>
      <x:c r="U41" t="inlineStr">
        <x:is>
          <x:t xml:space="preserve">Closed</x:t>
        </x:is>
      </x:c>
      <x:c r="V41" t="inlineStr">
        <x:is>
          <x:t xml:space="preserve">No</x:t>
        </x:is>
      </x:c>
      <x:c r="W41" t="n">
        <x:v>13</x:v>
      </x:c>
      <x:c r="X41" t="inlineStr">
        <x:is>
          <x:t xml:space="preserve">Synthetic - CIE training only</x:t>
        </x:is>
      </x:c>
    </x:row>
    <x:row r="42">
      <x:c r="A42" t="inlineStr">
        <x:is>
          <x:t xml:space="preserve">LGL-26-0037</x:t>
        </x:is>
      </x:c>
      <x:c r="B42" s="9" t="n">
        <x:v>46057</x:v>
      </x:c>
      <x:c r="C42" t="inlineStr">
        <x:is>
          <x:t xml:space="preserve">Q1 2026</x:t>
        </x:is>
      </x:c>
      <x:c r="D42" t="inlineStr">
        <x:is>
          <x:t xml:space="preserve">Brazil</x:t>
        </x:is>
      </x:c>
      <x:c r="E42" t="inlineStr">
        <x:is>
          <x:t xml:space="preserve">Americas</x:t>
        </x:is>
      </x:c>
      <x:c r="F42" t="inlineStr">
        <x:is>
          <x:t xml:space="preserve">Operations</x:t>
        </x:is>
      </x:c>
      <x:c r="G42" t="inlineStr">
        <x:is>
          <x:t xml:space="preserve">SaaS / Cloud services</x:t>
        </x:is>
      </x:c>
      <x:c r="H42" t="inlineStr">
        <x:is>
          <x:t xml:space="preserve">Technology vendor</x:t>
        </x:is>
      </x:c>
      <x:c r="I42" t="inlineStr">
        <x:is>
          <x:t xml:space="preserve">Tessaro Systems BV</x:t>
        </x:is>
      </x:c>
      <x:c r="J42" t="inlineStr">
        <x:is>
          <x:t xml:space="preserve">Limitation of liability</x:t>
        </x:is>
      </x:c>
      <x:c r="K42" t="inlineStr">
        <x:is>
          <x:t xml:space="preserve">Minor</x:t>
        </x:is>
      </x:c>
      <x:c r="L42" t="inlineStr">
        <x:is>
          <x:t xml:space="preserve">None / public</x:t>
        </x:is>
      </x:c>
      <x:c r="M42" t="inlineStr">
        <x:is>
          <x:t xml:space="preserve">None</x:t>
        </x:is>
      </x:c>
      <x:c r="N42" t="inlineStr">
        <x:is>
          <x:t xml:space="preserve">Single market</x:t>
        </x:is>
      </x:c>
      <x:c r="O42" t="n">
        <x:v>2</x:v>
      </x:c>
      <x:c r="P42" t="n">
        <x:v>3</x:v>
      </x:c>
      <x:c r="Q42" t="n">
        <x:v>6</x:v>
      </x:c>
      <x:c r="R42" t="inlineStr">
        <x:is>
          <x:t xml:space="preserve">Medium</x:t>
        </x:is>
      </x:c>
      <x:c r="S42" t="inlineStr">
        <x:is>
          <x:t xml:space="preserve">Commercial Legal</x:t>
        </x:is>
      </x:c>
      <x:c r="T42" s="9" t="n">
        <x:v>46075</x:v>
      </x:c>
      <x:c r="U42" t="inlineStr">
        <x:is>
          <x:t xml:space="preserve">Closed</x:t>
        </x:is>
      </x:c>
      <x:c r="V42" t="inlineStr">
        <x:is>
          <x:t xml:space="preserve">No</x:t>
        </x:is>
      </x:c>
      <x:c r="W42" t="n">
        <x:v>8</x:v>
      </x:c>
      <x:c r="X42" t="inlineStr">
        <x:is>
          <x:t xml:space="preserve">Synthetic - CIE training only</x:t>
        </x:is>
      </x:c>
    </x:row>
    <x:row r="43">
      <x:c r="A43" t="inlineStr">
        <x:is>
          <x:t xml:space="preserve">LGL-26-0038</x:t>
        </x:is>
      </x:c>
      <x:c r="B43" s="9" t="n">
        <x:v>46100</x:v>
      </x:c>
      <x:c r="C43" t="inlineStr">
        <x:is>
          <x:t xml:space="preserve">Q1 2026</x:t>
        </x:is>
      </x:c>
      <x:c r="D43" t="inlineStr">
        <x:is>
          <x:t xml:space="preserve">Mexico</x:t>
        </x:is>
      </x:c>
      <x:c r="E43" t="inlineStr">
        <x:is>
          <x:t xml:space="preserve">Americas</x:t>
        </x:is>
      </x:c>
      <x:c r="F43" t="inlineStr">
        <x:is>
          <x:t xml:space="preserve">Procurement</x:t>
        </x:is>
      </x:c>
      <x:c r="G43" t="inlineStr">
        <x:is>
          <x:t xml:space="preserve">Distribution agreement</x:t>
        </x:is>
      </x:c>
      <x:c r="H43" t="inlineStr">
        <x:is>
          <x:t xml:space="preserve">Distributor</x:t>
        </x:is>
      </x:c>
      <x:c r="I43" t="inlineStr">
        <x:is>
          <x:t xml:space="preserve">Granite Coast Distribution</x:t>
        </x:is>
      </x:c>
      <x:c r="J43" t="inlineStr">
        <x:is>
          <x:t xml:space="preserve">Limitation of liability</x:t>
        </x:is>
      </x:c>
      <x:c r="K43" t="inlineStr">
        <x:is>
          <x:t xml:space="preserve">Minor</x:t>
        </x:is>
      </x:c>
      <x:c r="L43" t="inlineStr">
        <x:is>
          <x:t xml:space="preserve">None / public</x:t>
        </x:is>
      </x:c>
      <x:c r="M43" t="inlineStr">
        <x:is>
          <x:t xml:space="preserve">None</x:t>
        </x:is>
      </x:c>
      <x:c r="N43" t="inlineStr">
        <x:is>
          <x:t xml:space="preserve">Single market</x:t>
        </x:is>
      </x:c>
      <x:c r="O43" t="n">
        <x:v>1</x:v>
      </x:c>
      <x:c r="P43" t="n">
        <x:v>1</x:v>
      </x:c>
      <x:c r="Q43" t="n">
        <x:v>1</x:v>
      </x:c>
      <x:c r="R43" t="inlineStr">
        <x:is>
          <x:t xml:space="preserve">Low</x:t>
        </x:is>
      </x:c>
      <x:c r="S43" t="inlineStr">
        <x:is>
          <x:t xml:space="preserve">Commercial Legal</x:t>
        </x:is>
      </x:c>
      <x:c r="T43" s="9" t="n">
        <x:v>46122</x:v>
      </x:c>
      <x:c r="U43" t="inlineStr">
        <x:is>
          <x:t xml:space="preserve">Closed</x:t>
        </x:is>
      </x:c>
      <x:c r="V43" t="inlineStr">
        <x:is>
          <x:t xml:space="preserve">No</x:t>
        </x:is>
      </x:c>
      <x:c r="W43" t="n">
        <x:v>2</x:v>
      </x:c>
      <x:c r="X43" t="inlineStr">
        <x:is>
          <x:t xml:space="preserve">Synthetic - CIE training only</x:t>
        </x:is>
      </x:c>
    </x:row>
    <x:row r="44">
      <x:c r="A44" t="inlineStr">
        <x:is>
          <x:t xml:space="preserve">LGL-26-0039</x:t>
        </x:is>
      </x:c>
      <x:c r="B44" s="9" t="n">
        <x:v>46029</x:v>
      </x:c>
      <x:c r="C44" t="inlineStr">
        <x:is>
          <x:t xml:space="preserve">Q1 2026</x:t>
        </x:is>
      </x:c>
      <x:c r="D44" t="inlineStr">
        <x:is>
          <x:t xml:space="preserve">South Africa</x:t>
        </x:is>
      </x:c>
      <x:c r="E44" t="inlineStr">
        <x:is>
          <x:t xml:space="preserve">Middle East &amp; Africa</x:t>
        </x:is>
      </x:c>
      <x:c r="F44" t="inlineStr">
        <x:is>
          <x:t xml:space="preserve">Digital &amp; IT</x:t>
        </x:is>
      </x:c>
      <x:c r="G44" t="inlineStr">
        <x:is>
          <x:t xml:space="preserve">Software licence</x:t>
        </x:is>
      </x:c>
      <x:c r="H44" t="inlineStr">
        <x:is>
          <x:t xml:space="preserve">Technology vendor</x:t>
        </x:is>
      </x:c>
      <x:c r="I44" t="inlineStr">
        <x:is>
          <x:t xml:space="preserve">Pinemark Software Ltd</x:t>
        </x:is>
      </x:c>
      <x:c r="J44" t="inlineStr">
        <x:is>
          <x:t xml:space="preserve">Data use / model training</x:t>
        </x:is>
      </x:c>
      <x:c r="K44" t="inlineStr">
        <x:is>
          <x:t xml:space="preserve">Major</x:t>
        </x:is>
      </x:c>
      <x:c r="L44" t="inlineStr">
        <x:is>
          <x:t xml:space="preserve">Personal data - employee</x:t>
        </x:is>
      </x:c>
      <x:c r="M44" t="inlineStr">
        <x:is>
          <x:t xml:space="preserve">Automated decision support</x:t>
        </x:is>
      </x:c>
      <x:c r="N44" t="inlineStr">
        <x:is>
          <x:t xml:space="preserve">Emerging AI regulation - counsel to assess</x:t>
        </x:is>
      </x:c>
      <x:c r="O44" t="n">
        <x:v>2</x:v>
      </x:c>
      <x:c r="P44" t="n">
        <x:v>3</x:v>
      </x:c>
      <x:c r="Q44" t="n">
        <x:v>6</x:v>
      </x:c>
      <x:c r="R44" t="inlineStr">
        <x:is>
          <x:t xml:space="preserve">Medium</x:t>
        </x:is>
      </x:c>
      <x:c r="S44" t="inlineStr">
        <x:is>
          <x:t xml:space="preserve">AI Governance Panel</x:t>
        </x:is>
      </x:c>
      <x:c r="T44" s="9" t="n">
        <x:v>46045</x:v>
      </x:c>
      <x:c r="U44" t="inlineStr">
        <x:is>
          <x:t xml:space="preserve">Closed</x:t>
        </x:is>
      </x:c>
      <x:c r="V44" t="inlineStr">
        <x:is>
          <x:t xml:space="preserve">No</x:t>
        </x:is>
      </x:c>
      <x:c r="W44" t="n">
        <x:v>26</x:v>
      </x:c>
      <x:c r="X44" t="inlineStr">
        <x:is>
          <x:t xml:space="preserve">Synthetic - CIE training only</x:t>
        </x:is>
      </x:c>
    </x:row>
    <x:row r="45">
      <x:c r="A45" t="inlineStr">
        <x:is>
          <x:t xml:space="preserve">LGL-26-0040</x:t>
        </x:is>
      </x:c>
      <x:c r="B45" s="9" t="n">
        <x:v>46084</x:v>
      </x:c>
      <x:c r="C45" t="inlineStr">
        <x:is>
          <x:t xml:space="preserve">Q1 2026</x:t>
        </x:is>
      </x:c>
      <x:c r="D45" t="inlineStr">
        <x:is>
          <x:t xml:space="preserve">United Kingdom</x:t>
        </x:is>
      </x:c>
      <x:c r="E45" t="inlineStr">
        <x:is>
          <x:t xml:space="preserve">Europe</x:t>
        </x:is>
      </x:c>
      <x:c r="F45" t="inlineStr">
        <x:is>
          <x:t xml:space="preserve">Finance</x:t>
        </x:is>
      </x:c>
      <x:c r="G45" t="inlineStr">
        <x:is>
          <x:t xml:space="preserve">Professional services</x:t>
        </x:is>
      </x:c>
      <x:c r="H45" t="inlineStr">
        <x:is>
          <x:t xml:space="preserve">Agency</x:t>
        </x:is>
      </x:c>
      <x:c r="I45" t="inlineStr">
        <x:is>
          <x:t xml:space="preserve">Lantern &amp; Reed Agency</x:t>
        </x:is>
      </x:c>
      <x:c r="J45" t="inlineStr">
        <x:is>
          <x:t xml:space="preserve">Governing law</x:t>
        </x:is>
      </x:c>
      <x:c r="K45" t="inlineStr">
        <x:is>
          <x:t xml:space="preserve">None</x:t>
        </x:is>
      </x:c>
      <x:c r="L45" t="inlineStr">
        <x:is>
          <x:t xml:space="preserve">Business confidential</x:t>
        </x:is>
      </x:c>
      <x:c r="M45" t="inlineStr">
        <x:is>
          <x:t xml:space="preserve">None</x:t>
        </x:is>
      </x:c>
      <x:c r="N45" t="inlineStr">
        <x:is>
          <x:t xml:space="preserve">Single market</x:t>
        </x:is>
      </x:c>
      <x:c r="O45" t="n">
        <x:v>1</x:v>
      </x:c>
      <x:c r="P45" t="n">
        <x:v>1</x:v>
      </x:c>
      <x:c r="Q45" t="n">
        <x:v>1</x:v>
      </x:c>
      <x:c r="R45" t="inlineStr">
        <x:is>
          <x:t xml:space="preserve">Low</x:t>
        </x:is>
      </x:c>
      <x:c r="S45" t="inlineStr">
        <x:is>
          <x:t xml:space="preserve">Market Counsel</x:t>
        </x:is>
      </x:c>
      <x:c r="T45" s="9" t="n">
        <x:v>46108</x:v>
      </x:c>
      <x:c r="U45" t="inlineStr">
        <x:is>
          <x:t xml:space="preserve">Closed</x:t>
        </x:is>
      </x:c>
      <x:c r="V45" t="inlineStr">
        <x:is>
          <x:t xml:space="preserve">No</x:t>
        </x:is>
      </x:c>
      <x:c r="W45" t="n">
        <x:v>4</x:v>
      </x:c>
      <x:c r="X45" t="inlineStr">
        <x:is>
          <x:t xml:space="preserve">Synthetic - CIE training only</x:t>
        </x:is>
      </x:c>
    </x:row>
    <x:row r="46">
      <x:c r="A46" t="inlineStr">
        <x:is>
          <x:t xml:space="preserve">LGL-26-0041</x:t>
        </x:is>
      </x:c>
      <x:c r="B46" s="9" t="n">
        <x:v>46031</x:v>
      </x:c>
      <x:c r="C46" t="inlineStr">
        <x:is>
          <x:t xml:space="preserve">Q1 2026</x:t>
        </x:is>
      </x:c>
      <x:c r="D46" t="inlineStr">
        <x:is>
          <x:t xml:space="preserve">Kenya</x:t>
        </x:is>
      </x:c>
      <x:c r="E46" t="inlineStr">
        <x:is>
          <x:t xml:space="preserve">Middle East &amp; Africa</x:t>
        </x:is>
      </x:c>
      <x:c r="F46" t="inlineStr">
        <x:is>
          <x:t xml:space="preserve">Corporate Affairs</x:t>
        </x:is>
      </x:c>
      <x:c r="G46" t="inlineStr">
        <x:is>
          <x:t xml:space="preserve">Marketing agency agreement</x:t>
        </x:is>
      </x:c>
      <x:c r="H46" t="inlineStr">
        <x:is>
          <x:t xml:space="preserve">Agency</x:t>
        </x:is>
      </x:c>
      <x:c r="I46" t="inlineStr">
        <x:is>
          <x:t xml:space="preserve">Corvid Creative Partners</x:t>
        </x:is>
      </x:c>
      <x:c r="J46" t="inlineStr">
        <x:is>
          <x:t xml:space="preserve">Limitation of liability</x:t>
        </x:is>
      </x:c>
      <x:c r="K46" t="inlineStr">
        <x:is>
          <x:t xml:space="preserve">Major</x:t>
        </x:is>
      </x:c>
      <x:c r="L46" t="inlineStr">
        <x:is>
          <x:t xml:space="preserve">Business confidential</x:t>
        </x:is>
      </x:c>
      <x:c r="M46" t="inlineStr">
        <x:is>
          <x:t xml:space="preserve">None</x:t>
        </x:is>
      </x:c>
      <x:c r="N46" t="inlineStr">
        <x:is>
          <x:t xml:space="preserve">Single market</x:t>
        </x:is>
      </x:c>
      <x:c r="O46" t="n">
        <x:v>3</x:v>
      </x:c>
      <x:c r="P46" t="n">
        <x:v>2</x:v>
      </x:c>
      <x:c r="Q46" t="n">
        <x:v>6</x:v>
      </x:c>
      <x:c r="R46" t="inlineStr">
        <x:is>
          <x:t xml:space="preserve">Medium</x:t>
        </x:is>
      </x:c>
      <x:c r="S46" t="inlineStr">
        <x:is>
          <x:t xml:space="preserve">Commercial Legal</x:t>
        </x:is>
      </x:c>
      <x:c r="T46" s="9" t="n">
        <x:v>46048</x:v>
      </x:c>
      <x:c r="U46" t="inlineStr">
        <x:is>
          <x:t xml:space="preserve">Closed</x:t>
        </x:is>
      </x:c>
      <x:c r="V46" t="inlineStr">
        <x:is>
          <x:t xml:space="preserve">No</x:t>
        </x:is>
      </x:c>
      <x:c r="W46" t="n">
        <x:v>12</x:v>
      </x:c>
      <x:c r="X46" t="inlineStr">
        <x:is>
          <x:t xml:space="preserve">Synthetic - CIE training only</x:t>
        </x:is>
      </x:c>
    </x:row>
    <x:row r="47">
      <x:c r="A47" t="inlineStr">
        <x:is>
          <x:t xml:space="preserve">LGL-26-0042</x:t>
        </x:is>
      </x:c>
      <x:c r="B47" s="9" t="n">
        <x:v>46102</x:v>
      </x:c>
      <x:c r="C47" t="inlineStr">
        <x:is>
          <x:t xml:space="preserve">Q1 2026</x:t>
        </x:is>
      </x:c>
      <x:c r="D47" t="inlineStr">
        <x:is>
          <x:t xml:space="preserve">United Kingdom</x:t>
        </x:is>
      </x:c>
      <x:c r="E47" t="inlineStr">
        <x:is>
          <x:t xml:space="preserve">Europe</x:t>
        </x:is>
      </x:c>
      <x:c r="F47" t="inlineStr">
        <x:is>
          <x:t xml:space="preserve">Operations</x:t>
        </x:is>
      </x:c>
      <x:c r="G47" t="inlineStr">
        <x:is>
          <x:t xml:space="preserve">AI use request (internal)</x:t>
        </x:is>
      </x:c>
      <x:c r="H47" t="inlineStr">
        <x:is>
          <x:t xml:space="preserve">Internal (no counterparty)</x:t>
        </x:is>
      </x:c>
      <x:c r="I47" t="inlineStr">
        <x:is>
          <x:t xml:space="preserve">Internal request</x:t>
        </x:is>
      </x:c>
      <x:c r="J47" t="inlineStr">
        <x:is>
          <x:t xml:space="preserve">Data use / model training</x:t>
        </x:is>
      </x:c>
      <x:c r="K47" t="inlineStr">
        <x:is>
          <x:t xml:space="preserve">Major</x:t>
        </x:is>
      </x:c>
      <x:c r="L47" t="inlineStr">
        <x:is>
          <x:t xml:space="preserve">Personal data - consumer (adult)</x:t>
        </x:is>
      </x:c>
      <x:c r="M47" t="inlineStr">
        <x:is>
          <x:t xml:space="preserve">AI-enabled feature</x:t>
        </x:is>
      </x:c>
      <x:c r="N47" t="inlineStr">
        <x:is>
          <x:t xml:space="preserve">Emerging AI regulation - counsel to assess</x:t>
        </x:is>
      </x:c>
      <x:c r="O47" t="n">
        <x:v>3</x:v>
      </x:c>
      <x:c r="P47" t="n">
        <x:v>3</x:v>
      </x:c>
      <x:c r="Q47" t="n">
        <x:v>9</x:v>
      </x:c>
      <x:c r="R47" t="inlineStr">
        <x:is>
          <x:t xml:space="preserve">Medium</x:t>
        </x:is>
      </x:c>
      <x:c r="S47" t="inlineStr">
        <x:is>
          <x:t xml:space="preserve">AI Governance Panel</x:t>
        </x:is>
      </x:c>
      <x:c r="T47" s="9" t="n">
        <x:v>46121</x:v>
      </x:c>
      <x:c r="U47" t="inlineStr">
        <x:is>
          <x:t xml:space="preserve">Closed</x:t>
        </x:is>
      </x:c>
      <x:c r="V47" t="inlineStr">
        <x:is>
          <x:t xml:space="preserve">No</x:t>
        </x:is>
      </x:c>
      <x:c r="W47" t="n">
        <x:v>21</x:v>
      </x:c>
      <x:c r="X47" t="inlineStr">
        <x:is>
          <x:t xml:space="preserve">Synthetic - CIE training only</x:t>
        </x:is>
      </x:c>
    </x:row>
    <x:row r="48">
      <x:c r="A48" t="inlineStr">
        <x:is>
          <x:t xml:space="preserve">LGL-26-0043</x:t>
        </x:is>
      </x:c>
      <x:c r="B48" s="9" t="n">
        <x:v>46087</x:v>
      </x:c>
      <x:c r="C48" t="inlineStr">
        <x:is>
          <x:t xml:space="preserve">Q1 2026</x:t>
        </x:is>
      </x:c>
      <x:c r="D48" t="inlineStr">
        <x:is>
          <x:t xml:space="preserve">South Africa</x:t>
        </x:is>
      </x:c>
      <x:c r="E48" t="inlineStr">
        <x:is>
          <x:t xml:space="preserve">Middle East &amp; Africa</x:t>
        </x:is>
      </x:c>
      <x:c r="F48" t="inlineStr">
        <x:is>
          <x:t xml:space="preserve">Marketing</x:t>
        </x:is>
      </x:c>
      <x:c r="G48" t="inlineStr">
        <x:is>
          <x:t xml:space="preserve">Data sharing agreement</x:t>
        </x:is>
      </x:c>
      <x:c r="H48" t="inlineStr">
        <x:is>
          <x:t xml:space="preserve">AI/analytics vendor</x:t>
        </x:is>
      </x:c>
      <x:c r="I48" t="inlineStr">
        <x:is>
          <x:t xml:space="preserve">Northvale Insights SA</x:t>
        </x:is>
      </x:c>
      <x:c r="J48" t="inlineStr">
        <x:is>
          <x:t xml:space="preserve">AI transparency</x:t>
        </x:is>
      </x:c>
      <x:c r="K48" t="inlineStr">
        <x:is>
          <x:t xml:space="preserve">Minor</x:t>
        </x:is>
      </x:c>
      <x:c r="L48" t="inlineStr">
        <x:is>
          <x:t xml:space="preserve">Business confidential</x:t>
        </x:is>
      </x:c>
      <x:c r="M48" t="inlineStr">
        <x:is>
          <x:t xml:space="preserve">Model training on BAT data</x:t>
        </x:is>
      </x:c>
      <x:c r="N48" t="inlineStr">
        <x:is>
          <x:t xml:space="preserve">Emerging AI regulation - counsel to assess</x:t>
        </x:is>
      </x:c>
      <x:c r="O48" t="n">
        <x:v>3</x:v>
      </x:c>
      <x:c r="P48" t="n">
        <x:v>3</x:v>
      </x:c>
      <x:c r="Q48" t="n">
        <x:v>9</x:v>
      </x:c>
      <x:c r="R48" t="inlineStr">
        <x:is>
          <x:t xml:space="preserve">Medium</x:t>
        </x:is>
      </x:c>
      <x:c r="S48" t="inlineStr">
        <x:is>
          <x:t xml:space="preserve">AI Governance Panel</x:t>
        </x:is>
      </x:c>
      <x:c r="T48" s="9" t="n">
        <x:v>46102</x:v>
      </x:c>
      <x:c r="U48" t="inlineStr">
        <x:is>
          <x:t xml:space="preserve">Closed</x:t>
        </x:is>
      </x:c>
      <x:c r="V48" t="inlineStr">
        <x:is>
          <x:t xml:space="preserve">No</x:t>
        </x:is>
      </x:c>
      <x:c r="W48" t="n">
        <x:v>26</x:v>
      </x:c>
      <x:c r="X48" t="inlineStr">
        <x:is>
          <x:t xml:space="preserve">Synthetic - CIE training only</x:t>
        </x:is>
      </x:c>
    </x:row>
    <x:row r="49">
      <x:c r="A49" t="inlineStr">
        <x:is>
          <x:t xml:space="preserve">LGL-26-0044</x:t>
        </x:is>
      </x:c>
      <x:c r="B49" s="9" t="n">
        <x:v>46033</x:v>
      </x:c>
      <x:c r="C49" t="inlineStr">
        <x:is>
          <x:t xml:space="preserve">Q1 2026</x:t>
        </x:is>
      </x:c>
      <x:c r="D49" t="inlineStr">
        <x:is>
          <x:t xml:space="preserve">South Africa</x:t>
        </x:is>
      </x:c>
      <x:c r="E49" t="inlineStr">
        <x:is>
          <x:t xml:space="preserve">Middle East &amp; Africa</x:t>
        </x:is>
      </x:c>
      <x:c r="F49" t="inlineStr">
        <x:is>
          <x:t xml:space="preserve">Finance</x:t>
        </x:is>
      </x:c>
      <x:c r="G49" t="inlineStr">
        <x:is>
          <x:t xml:space="preserve">Professional services</x:t>
        </x:is>
      </x:c>
      <x:c r="H49" t="inlineStr">
        <x:is>
          <x:t xml:space="preserve">Technology vendor</x:t>
        </x:is>
      </x:c>
      <x:c r="I49" t="inlineStr">
        <x:is>
          <x:t xml:space="preserve">Arcbridge Cloud Ltd</x:t>
        </x:is>
      </x:c>
      <x:c r="J49" t="inlineStr">
        <x:is>
          <x:t xml:space="preserve">Governing law</x:t>
        </x:is>
      </x:c>
      <x:c r="K49" t="inlineStr">
        <x:is>
          <x:t xml:space="preserve">Minor</x:t>
        </x:is>
      </x:c>
      <x:c r="L49" t="inlineStr">
        <x:is>
          <x:t xml:space="preserve">Business confidential</x:t>
        </x:is>
      </x:c>
      <x:c r="M49" t="inlineStr">
        <x:is>
          <x:t xml:space="preserve">None</x:t>
        </x:is>
      </x:c>
      <x:c r="N49" t="inlineStr">
        <x:is>
          <x:t xml:space="preserve">Single market</x:t>
        </x:is>
      </x:c>
      <x:c r="O49" t="n">
        <x:v>3</x:v>
      </x:c>
      <x:c r="P49" t="n">
        <x:v>1</x:v>
      </x:c>
      <x:c r="Q49" t="n">
        <x:v>3</x:v>
      </x:c>
      <x:c r="R49" t="inlineStr">
        <x:is>
          <x:t xml:space="preserve">Low</x:t>
        </x:is>
      </x:c>
      <x:c r="S49" t="inlineStr">
        <x:is>
          <x:t xml:space="preserve">Market Counsel</x:t>
        </x:is>
      </x:c>
      <x:c r="T49" s="9" t="n">
        <x:v>46054</x:v>
      </x:c>
      <x:c r="U49" t="inlineStr">
        <x:is>
          <x:t xml:space="preserve">Closed</x:t>
        </x:is>
      </x:c>
      <x:c r="V49" t="inlineStr">
        <x:is>
          <x:t xml:space="preserve">No</x:t>
        </x:is>
      </x:c>
      <x:c r="W49" t="n">
        <x:v>9</x:v>
      </x:c>
      <x:c r="X49" t="inlineStr">
        <x:is>
          <x:t xml:space="preserve">Synthetic - CIE training only</x:t>
        </x:is>
      </x:c>
    </x:row>
    <x:row r="50">
      <x:c r="A50" t="inlineStr">
        <x:is>
          <x:t xml:space="preserve">LGL-26-0045</x:t>
        </x:is>
      </x:c>
      <x:c r="B50" s="9" t="n">
        <x:v>46023</x:v>
      </x:c>
      <x:c r="C50" t="inlineStr">
        <x:is>
          <x:t xml:space="preserve">Q1 2026</x:t>
        </x:is>
      </x:c>
      <x:c r="D50" t="inlineStr">
        <x:is>
          <x:t xml:space="preserve">Romania</x:t>
        </x:is>
      </x:c>
      <x:c r="E50" t="inlineStr">
        <x:is>
          <x:t xml:space="preserve">Europe</x:t>
        </x:is>
      </x:c>
      <x:c r="F50" t="inlineStr">
        <x:is>
          <x:t xml:space="preserve">Procurement</x:t>
        </x:is>
      </x:c>
      <x:c r="G50" t="inlineStr">
        <x:is>
          <x:t xml:space="preserve">SaaS / Cloud services</x:t>
        </x:is>
      </x:c>
      <x:c r="H50" t="inlineStr">
        <x:is>
          <x:t xml:space="preserve">AI/analytics vendor</x:t>
        </x:is>
      </x:c>
      <x:c r="I50" t="inlineStr">
        <x:is>
          <x:t xml:space="preserve">Lumora Analytics Ltd</x:t>
        </x:is>
      </x:c>
      <x:c r="J50" t="inlineStr">
        <x:is>
          <x:t xml:space="preserve">Limitation of liability</x:t>
        </x:is>
      </x:c>
      <x:c r="K50" t="inlineStr">
        <x:is>
          <x:t xml:space="preserve">Major</x:t>
        </x:is>
      </x:c>
      <x:c r="L50" t="inlineStr">
        <x:is>
          <x:t xml:space="preserve">Business confidential</x:t>
        </x:is>
      </x:c>
      <x:c r="M50" t="inlineStr">
        <x:is>
          <x:t xml:space="preserve">AI-enabled feature</x:t>
        </x:is>
      </x:c>
      <x:c r="N50" t="inlineStr">
        <x:is>
          <x:t xml:space="preserve">Multi-jurisdiction - counsel to assess</x:t>
        </x:is>
      </x:c>
      <x:c r="O50" t="n">
        <x:v>3</x:v>
      </x:c>
      <x:c r="P50" t="n">
        <x:v>2</x:v>
      </x:c>
      <x:c r="Q50" t="n">
        <x:v>6</x:v>
      </x:c>
      <x:c r="R50" t="inlineStr">
        <x:is>
          <x:t xml:space="preserve">Medium</x:t>
        </x:is>
      </x:c>
      <x:c r="S50" t="inlineStr">
        <x:is>
          <x:t xml:space="preserve">Commercial Legal</x:t>
        </x:is>
      </x:c>
      <x:c r="T50" s="9" t="n">
        <x:v>46323</x:v>
      </x:c>
      <x:c r="U50" t="inlineStr">
        <x:is>
          <x:t xml:space="preserve">In review</x:t>
        </x:is>
      </x:c>
      <x:c r="V50" t="inlineStr">
        <x:is>
          <x:t xml:space="preserve">No</x:t>
        </x:is>
      </x:c>
      <x:c r="W50" t="n">
        <x:v>288</x:v>
      </x:c>
      <x:c r="X50" t="inlineStr">
        <x:is>
          <x:t xml:space="preserve">Synthetic - CIE training only</x:t>
        </x:is>
      </x:c>
    </x:row>
    <x:row r="51">
      <x:c r="A51" t="inlineStr">
        <x:is>
          <x:t xml:space="preserve">LGL-26-0046</x:t>
        </x:is>
      </x:c>
      <x:c r="B51" s="9" t="n">
        <x:v>46046</x:v>
      </x:c>
      <x:c r="C51" t="inlineStr">
        <x:is>
          <x:t xml:space="preserve">Q1 2026</x:t>
        </x:is>
      </x:c>
      <x:c r="D51" t="inlineStr">
        <x:is>
          <x:t xml:space="preserve">Kenya</x:t>
        </x:is>
      </x:c>
      <x:c r="E51" t="inlineStr">
        <x:is>
          <x:t xml:space="preserve">Middle East &amp; Africa</x:t>
        </x:is>
      </x:c>
      <x:c r="F51" t="inlineStr">
        <x:is>
          <x:t xml:space="preserve">Corporate Affairs</x:t>
        </x:is>
      </x:c>
      <x:c r="G51" t="inlineStr">
        <x:is>
          <x:t xml:space="preserve">SaaS / Cloud services</x:t>
        </x:is>
      </x:c>
      <x:c r="H51" t="inlineStr">
        <x:is>
          <x:t xml:space="preserve">Technology vendor</x:t>
        </x:is>
      </x:c>
      <x:c r="I51" t="inlineStr">
        <x:is>
          <x:t xml:space="preserve">Pinemark Software Ltd</x:t>
        </x:is>
      </x:c>
      <x:c r="J51" t="inlineStr">
        <x:is>
          <x:t xml:space="preserve">Confidentiality</x:t>
        </x:is>
      </x:c>
      <x:c r="K51" t="inlineStr">
        <x:is>
          <x:t xml:space="preserve">Major</x:t>
        </x:is>
      </x:c>
      <x:c r="L51" t="inlineStr">
        <x:is>
          <x:t xml:space="preserve">None / public</x:t>
        </x:is>
      </x:c>
      <x:c r="M51" t="inlineStr">
        <x:is>
          <x:t xml:space="preserve">None</x:t>
        </x:is>
      </x:c>
      <x:c r="N51" t="inlineStr">
        <x:is>
          <x:t xml:space="preserve">Single market</x:t>
        </x:is>
      </x:c>
      <x:c r="O51" t="n">
        <x:v>4</x:v>
      </x:c>
      <x:c r="P51" t="n">
        <x:v>3</x:v>
      </x:c>
      <x:c r="Q51" t="n">
        <x:v>12</x:v>
      </x:c>
      <x:c r="R51" t="inlineStr">
        <x:is>
          <x:t xml:space="preserve">High</x:t>
        </x:is>
      </x:c>
      <x:c r="S51" t="inlineStr">
        <x:is>
          <x:t xml:space="preserve">Commercial Legal</x:t>
        </x:is>
      </x:c>
      <x:c r="T51" s="9" t="n">
        <x:v>46057</x:v>
      </x:c>
      <x:c r="U51" t="inlineStr">
        <x:is>
          <x:t xml:space="preserve">Closed</x:t>
        </x:is>
      </x:c>
      <x:c r="V51" t="inlineStr">
        <x:is>
          <x:t xml:space="preserve">No</x:t>
        </x:is>
      </x:c>
      <x:c r="W51" t="n">
        <x:v>2</x:v>
      </x:c>
      <x:c r="X51" t="inlineStr">
        <x:is>
          <x:t xml:space="preserve">Synthetic - CIE training only</x:t>
        </x:is>
      </x:c>
    </x:row>
    <x:row r="52">
      <x:c r="A52" t="inlineStr">
        <x:is>
          <x:t xml:space="preserve">LGL-26-0047</x:t>
        </x:is>
      </x:c>
      <x:c r="B52" s="9" t="n">
        <x:v>46099</x:v>
      </x:c>
      <x:c r="C52" t="inlineStr">
        <x:is>
          <x:t xml:space="preserve">Q1 2026</x:t>
        </x:is>
      </x:c>
      <x:c r="D52" t="inlineStr">
        <x:is>
          <x:t xml:space="preserve">Kenya</x:t>
        </x:is>
      </x:c>
      <x:c r="E52" t="inlineStr">
        <x:is>
          <x:t xml:space="preserve">Middle East &amp; Africa</x:t>
        </x:is>
      </x:c>
      <x:c r="F52" t="inlineStr">
        <x:is>
          <x:t xml:space="preserve">Procurement</x:t>
        </x:is>
      </x:c>
      <x:c r="G52" t="inlineStr">
        <x:is>
          <x:t xml:space="preserve">Professional services</x:t>
        </x:is>
      </x:c>
      <x:c r="H52" t="inlineStr">
        <x:is>
          <x:t xml:space="preserve">Agency</x:t>
        </x:is>
      </x:c>
      <x:c r="I52" t="inlineStr">
        <x:is>
          <x:t xml:space="preserve">Saffron Lane Media</x:t>
        </x:is>
      </x:c>
      <x:c r="J52" t="inlineStr">
        <x:is>
          <x:t xml:space="preserve">Sub-processors</x:t>
        </x:is>
      </x:c>
      <x:c r="K52" t="inlineStr">
        <x:is>
          <x:t xml:space="preserve">Major</x:t>
        </x:is>
      </x:c>
      <x:c r="L52" t="inlineStr">
        <x:is>
          <x:t xml:space="preserve">Personal data - employee</x:t>
        </x:is>
      </x:c>
      <x:c r="M52" t="inlineStr">
        <x:is>
          <x:t xml:space="preserve">None</x:t>
        </x:is>
      </x:c>
      <x:c r="N52" t="inlineStr">
        <x:is>
          <x:t xml:space="preserve">Cross-border data transfer</x:t>
        </x:is>
      </x:c>
      <x:c r="O52" t="n">
        <x:v>3</x:v>
      </x:c>
      <x:c r="P52" t="n">
        <x:v>4</x:v>
      </x:c>
      <x:c r="Q52" t="n">
        <x:v>12</x:v>
      </x:c>
      <x:c r="R52" t="inlineStr">
        <x:is>
          <x:t xml:space="preserve">High</x:t>
        </x:is>
      </x:c>
      <x:c r="S52" t="inlineStr">
        <x:is>
          <x:t xml:space="preserve">Privacy Office</x:t>
        </x:is>
      </x:c>
      <x:c r="T52" s="9" t="n">
        <x:v>46114</x:v>
      </x:c>
      <x:c r="U52" t="inlineStr">
        <x:is>
          <x:t xml:space="preserve">Closed</x:t>
        </x:is>
      </x:c>
      <x:c r="V52" t="inlineStr">
        <x:is>
          <x:t xml:space="preserve">Yes</x:t>
        </x:is>
      </x:c>
      <x:c r="W52" t="n">
        <x:v>18</x:v>
      </x:c>
      <x:c r="X52" t="inlineStr">
        <x:is>
          <x:t xml:space="preserve">Synthetic - CIE training only</x:t>
        </x:is>
      </x:c>
    </x:row>
    <x:row r="53">
      <x:c r="A53" t="inlineStr">
        <x:is>
          <x:t xml:space="preserve">LGL-26-0048</x:t>
        </x:is>
      </x:c>
      <x:c r="B53" s="9" t="n">
        <x:v>46095</x:v>
      </x:c>
      <x:c r="C53" t="inlineStr">
        <x:is>
          <x:t xml:space="preserve">Q1 2026</x:t>
        </x:is>
      </x:c>
      <x:c r="D53" t="inlineStr">
        <x:is>
          <x:t xml:space="preserve">Indonesia</x:t>
        </x:is>
      </x:c>
      <x:c r="E53" t="inlineStr">
        <x:is>
          <x:t xml:space="preserve">Asia-Pacific</x:t>
        </x:is>
      </x:c>
      <x:c r="F53" t="inlineStr">
        <x:is>
          <x:t xml:space="preserve">Finance</x:t>
        </x:is>
      </x:c>
      <x:c r="G53" t="inlineStr">
        <x:is>
          <x:t xml:space="preserve">Professional services</x:t>
        </x:is>
      </x:c>
      <x:c r="H53" t="inlineStr">
        <x:is>
          <x:t xml:space="preserve">Technology vendor</x:t>
        </x:is>
      </x:c>
      <x:c r="I53" t="inlineStr">
        <x:is>
          <x:t xml:space="preserve">Arcbridge Cloud Ltd</x:t>
        </x:is>
      </x:c>
      <x:c r="J53" t="inlineStr">
        <x:is>
          <x:t xml:space="preserve">Confidentiality</x:t>
        </x:is>
      </x:c>
      <x:c r="K53" t="inlineStr">
        <x:is>
          <x:t xml:space="preserve">Minor</x:t>
        </x:is>
      </x:c>
      <x:c r="L53" t="inlineStr">
        <x:is>
          <x:t xml:space="preserve">None / public</x:t>
        </x:is>
      </x:c>
      <x:c r="M53" t="inlineStr">
        <x:is>
          <x:t xml:space="preserve">None</x:t>
        </x:is>
      </x:c>
      <x:c r="N53" t="inlineStr">
        <x:is>
          <x:t xml:space="preserve">Single market</x:t>
        </x:is>
      </x:c>
      <x:c r="O53" t="n">
        <x:v>2</x:v>
      </x:c>
      <x:c r="P53" t="n">
        <x:v>3</x:v>
      </x:c>
      <x:c r="Q53" t="n">
        <x:v>6</x:v>
      </x:c>
      <x:c r="R53" t="inlineStr">
        <x:is>
          <x:t xml:space="preserve">Medium</x:t>
        </x:is>
      </x:c>
      <x:c r="S53" t="inlineStr">
        <x:is>
          <x:t xml:space="preserve">Commercial Legal</x:t>
        </x:is>
      </x:c>
      <x:c r="T53" s="9" t="n">
        <x:v>46110</x:v>
      </x:c>
      <x:c r="U53" t="inlineStr">
        <x:is>
          <x:t xml:space="preserve">Awaiting business info</x:t>
        </x:is>
      </x:c>
      <x:c r="V53" t="inlineStr">
        <x:is>
          <x:t xml:space="preserve">No</x:t>
        </x:is>
      </x:c>
      <x:c r="W53" t="n">
        <x:v>216</x:v>
      </x:c>
      <x:c r="X53" t="inlineStr">
        <x:is>
          <x:t xml:space="preserve">Synthetic - CIE training only</x:t>
        </x:is>
      </x:c>
    </x:row>
    <x:row r="54">
      <x:c r="A54" t="inlineStr">
        <x:is>
          <x:t xml:space="preserve">LGL-26-0049</x:t>
        </x:is>
      </x:c>
      <x:c r="B54" s="9" t="n">
        <x:v>46039</x:v>
      </x:c>
      <x:c r="C54" t="inlineStr">
        <x:is>
          <x:t xml:space="preserve">Q1 2026</x:t>
        </x:is>
      </x:c>
      <x:c r="D54" t="inlineStr">
        <x:is>
          <x:t xml:space="preserve">Indonesia</x:t>
        </x:is>
      </x:c>
      <x:c r="E54" t="inlineStr">
        <x:is>
          <x:t xml:space="preserve">Asia-Pacific</x:t>
        </x:is>
      </x:c>
      <x:c r="F54" t="inlineStr">
        <x:is>
          <x:t xml:space="preserve">Marketing</x:t>
        </x:is>
      </x:c>
      <x:c r="G54" t="inlineStr">
        <x:is>
          <x:t xml:space="preserve">Software licence</x:t>
        </x:is>
      </x:c>
      <x:c r="H54" t="inlineStr">
        <x:is>
          <x:t xml:space="preserve">Technology vendor</x:t>
        </x:is>
      </x:c>
      <x:c r="I54" t="inlineStr">
        <x:is>
          <x:t xml:space="preserve">Pinemark Software Ltd</x:t>
        </x:is>
      </x:c>
      <x:c r="J54" t="inlineStr">
        <x:is>
          <x:t xml:space="preserve">Confidentiality</x:t>
        </x:is>
      </x:c>
      <x:c r="K54" t="inlineStr">
        <x:is>
          <x:t xml:space="preserve">None</x:t>
        </x:is>
      </x:c>
      <x:c r="L54" t="inlineStr">
        <x:is>
          <x:t xml:space="preserve">Business confidential</x:t>
        </x:is>
      </x:c>
      <x:c r="M54" t="inlineStr">
        <x:is>
          <x:t xml:space="preserve">None</x:t>
        </x:is>
      </x:c>
      <x:c r="N54" t="inlineStr">
        <x:is>
          <x:t xml:space="preserve">Single market</x:t>
        </x:is>
      </x:c>
      <x:c r="O54" t="n">
        <x:v>1</x:v>
      </x:c>
      <x:c r="P54" t="n">
        <x:v>3</x:v>
      </x:c>
      <x:c r="Q54" t="n">
        <x:v>3</x:v>
      </x:c>
      <x:c r="R54" t="inlineStr">
        <x:is>
          <x:t xml:space="preserve">Low</x:t>
        </x:is>
      </x:c>
      <x:c r="S54" t="inlineStr">
        <x:is>
          <x:t xml:space="preserve">Commercial Legal</x:t>
        </x:is>
      </x:c>
      <x:c r="T54" s="9" t="n">
        <x:v>46064</x:v>
      </x:c>
      <x:c r="U54" t="inlineStr">
        <x:is>
          <x:t xml:space="preserve">Closed</x:t>
        </x:is>
      </x:c>
      <x:c r="V54" t="inlineStr">
        <x:is>
          <x:t xml:space="preserve">No</x:t>
        </x:is>
      </x:c>
      <x:c r="W54" t="n">
        <x:v>11</x:v>
      </x:c>
      <x:c r="X54" t="inlineStr">
        <x:is>
          <x:t xml:space="preserve">Synthetic - CIE training only</x:t>
        </x:is>
      </x:c>
    </x:row>
    <x:row r="55">
      <x:c r="A55" t="inlineStr">
        <x:is>
          <x:t xml:space="preserve">LGL-26-0050</x:t>
        </x:is>
      </x:c>
      <x:c r="B55" s="9" t="n">
        <x:v>46095</x:v>
      </x:c>
      <x:c r="C55" t="inlineStr">
        <x:is>
          <x:t xml:space="preserve">Q1 2026</x:t>
        </x:is>
      </x:c>
      <x:c r="D55" t="inlineStr">
        <x:is>
          <x:t xml:space="preserve">Kenya</x:t>
        </x:is>
      </x:c>
      <x:c r="E55" t="inlineStr">
        <x:is>
          <x:t xml:space="preserve">Middle East &amp; Africa</x:t>
        </x:is>
      </x:c>
      <x:c r="F55" t="inlineStr">
        <x:is>
          <x:t xml:space="preserve">Corporate Affairs</x:t>
        </x:is>
      </x:c>
      <x:c r="G55" t="inlineStr">
        <x:is>
          <x:t xml:space="preserve">Software licence</x:t>
        </x:is>
      </x:c>
      <x:c r="H55" t="inlineStr">
        <x:is>
          <x:t xml:space="preserve">Technology vendor</x:t>
        </x:is>
      </x:c>
      <x:c r="I55" t="inlineStr">
        <x:is>
          <x:t xml:space="preserve">Tessaro Systems BV</x:t>
        </x:is>
      </x:c>
      <x:c r="J55" t="inlineStr">
        <x:is>
          <x:t xml:space="preserve">Governing law</x:t>
        </x:is>
      </x:c>
      <x:c r="K55" t="inlineStr">
        <x:is>
          <x:t xml:space="preserve">None</x:t>
        </x:is>
      </x:c>
      <x:c r="L55" t="inlineStr">
        <x:is>
          <x:t xml:space="preserve">Personal data - employee</x:t>
        </x:is>
      </x:c>
      <x:c r="M55" t="inlineStr">
        <x:is>
          <x:t xml:space="preserve">None</x:t>
        </x:is>
      </x:c>
      <x:c r="N55" t="inlineStr">
        <x:is>
          <x:t xml:space="preserve">Cross-border data transfer</x:t>
        </x:is>
      </x:c>
      <x:c r="O55" t="n">
        <x:v>1</x:v>
      </x:c>
      <x:c r="P55" t="n">
        <x:v>3</x:v>
      </x:c>
      <x:c r="Q55" t="n">
        <x:v>3</x:v>
      </x:c>
      <x:c r="R55" t="inlineStr">
        <x:is>
          <x:t xml:space="preserve">Low</x:t>
        </x:is>
      </x:c>
      <x:c r="S55" t="inlineStr">
        <x:is>
          <x:t xml:space="preserve">Market Counsel</x:t>
        </x:is>
      </x:c>
      <x:c r="T55" s="9" t="n">
        <x:v>46117</x:v>
      </x:c>
      <x:c r="U55" t="inlineStr">
        <x:is>
          <x:t xml:space="preserve">Closed</x:t>
        </x:is>
      </x:c>
      <x:c r="V55" t="inlineStr">
        <x:is>
          <x:t xml:space="preserve">No</x:t>
        </x:is>
      </x:c>
      <x:c r="W55" t="n">
        <x:v>15</x:v>
      </x:c>
      <x:c r="X55" t="inlineStr">
        <x:is>
          <x:t xml:space="preserve">Synthetic - CIE training only</x:t>
        </x:is>
      </x:c>
    </x:row>
    <x:row r="56">
      <x:c r="A56" t="inlineStr">
        <x:is>
          <x:t xml:space="preserve">LGL-26-0051</x:t>
        </x:is>
      </x:c>
      <x:c r="B56" s="9" t="n">
        <x:v>46033</x:v>
      </x:c>
      <x:c r="C56" t="inlineStr">
        <x:is>
          <x:t xml:space="preserve">Q1 2026</x:t>
        </x:is>
      </x:c>
      <x:c r="D56" t="inlineStr">
        <x:is>
          <x:t xml:space="preserve">Kenya</x:t>
        </x:is>
      </x:c>
      <x:c r="E56" t="inlineStr">
        <x:is>
          <x:t xml:space="preserve">Middle East &amp; Africa</x:t>
        </x:is>
      </x:c>
      <x:c r="F56" t="inlineStr">
        <x:is>
          <x:t xml:space="preserve">Finance</x:t>
        </x:is>
      </x:c>
      <x:c r="G56" t="inlineStr">
        <x:is>
          <x:t xml:space="preserve">Professional services</x:t>
        </x:is>
      </x:c>
      <x:c r="H56" t="inlineStr">
        <x:is>
          <x:t xml:space="preserve">Agency</x:t>
        </x:is>
      </x:c>
      <x:c r="I56" t="inlineStr">
        <x:is>
          <x:t xml:space="preserve">Corvid Creative Partners</x:t>
        </x:is>
      </x:c>
      <x:c r="J56" t="inlineStr">
        <x:is>
          <x:t xml:space="preserve">Limitation of liability</x:t>
        </x:is>
      </x:c>
      <x:c r="K56" t="inlineStr">
        <x:is>
          <x:t xml:space="preserve">Minor</x:t>
        </x:is>
      </x:c>
      <x:c r="L56" t="inlineStr">
        <x:is>
          <x:t xml:space="preserve">Business confidential</x:t>
        </x:is>
      </x:c>
      <x:c r="M56" t="inlineStr">
        <x:is>
          <x:t xml:space="preserve">None</x:t>
        </x:is>
      </x:c>
      <x:c r="N56" t="inlineStr">
        <x:is>
          <x:t xml:space="preserve">Single market</x:t>
        </x:is>
      </x:c>
      <x:c r="O56" t="n">
        <x:v>1</x:v>
      </x:c>
      <x:c r="P56" t="n">
        <x:v>2</x:v>
      </x:c>
      <x:c r="Q56" t="n">
        <x:v>2</x:v>
      </x:c>
      <x:c r="R56" t="inlineStr">
        <x:is>
          <x:t xml:space="preserve">Low</x:t>
        </x:is>
      </x:c>
      <x:c r="S56" t="inlineStr">
        <x:is>
          <x:t xml:space="preserve">Commercial Legal</x:t>
        </x:is>
      </x:c>
      <x:c r="T56" s="9" t="n">
        <x:v>46058</x:v>
      </x:c>
      <x:c r="U56" t="inlineStr">
        <x:is>
          <x:t xml:space="preserve">Closed</x:t>
        </x:is>
      </x:c>
      <x:c r="V56" t="inlineStr">
        <x:is>
          <x:t xml:space="preserve">No</x:t>
        </x:is>
      </x:c>
      <x:c r="W56" t="n">
        <x:v>8</x:v>
      </x:c>
      <x:c r="X56" t="inlineStr">
        <x:is>
          <x:t xml:space="preserve">Synthetic - CIE training only</x:t>
        </x:is>
      </x:c>
    </x:row>
    <x:row r="57">
      <x:c r="A57" t="inlineStr">
        <x:is>
          <x:t xml:space="preserve">LGL-26-0052</x:t>
        </x:is>
      </x:c>
      <x:c r="B57" s="9" t="n">
        <x:v>46054</x:v>
      </x:c>
      <x:c r="C57" t="inlineStr">
        <x:is>
          <x:t xml:space="preserve">Q1 2026</x:t>
        </x:is>
      </x:c>
      <x:c r="D57" t="inlineStr">
        <x:is>
          <x:t xml:space="preserve">United Kingdom</x:t>
        </x:is>
      </x:c>
      <x:c r="E57" t="inlineStr">
        <x:is>
          <x:t xml:space="preserve">Europe</x:t>
        </x:is>
      </x:c>
      <x:c r="F57" t="inlineStr">
        <x:is>
          <x:t xml:space="preserve">Operations</x:t>
        </x:is>
      </x:c>
      <x:c r="G57" t="inlineStr">
        <x:is>
          <x:t xml:space="preserve">Professional services</x:t>
        </x:is>
      </x:c>
      <x:c r="H57" t="inlineStr">
        <x:is>
          <x:t xml:space="preserve">Agency</x:t>
        </x:is>
      </x:c>
      <x:c r="I57" t="inlineStr">
        <x:is>
          <x:t xml:space="preserve">Lantern &amp; Reed Agency</x:t>
        </x:is>
      </x:c>
      <x:c r="J57" t="inlineStr">
        <x:is>
          <x:t xml:space="preserve">Data use / model training</x:t>
        </x:is>
      </x:c>
      <x:c r="K57" t="inlineStr">
        <x:is>
          <x:t xml:space="preserve">Critical</x:t>
        </x:is>
      </x:c>
      <x:c r="L57" t="inlineStr">
        <x:is>
          <x:t xml:space="preserve">Personal data - employee</x:t>
        </x:is>
      </x:c>
      <x:c r="M57" t="inlineStr">
        <x:is>
          <x:t xml:space="preserve">Generative AI output</x:t>
        </x:is>
      </x:c>
      <x:c r="N57" t="inlineStr">
        <x:is>
          <x:t xml:space="preserve">Cross-border data transfer</x:t>
        </x:is>
      </x:c>
      <x:c r="O57" t="n">
        <x:v>4</x:v>
      </x:c>
      <x:c r="P57" t="n">
        <x:v>5</x:v>
      </x:c>
      <x:c r="Q57" t="n">
        <x:v>20</x:v>
      </x:c>
      <x:c r="R57" t="inlineStr">
        <x:is>
          <x:t xml:space="preserve">Critical</x:t>
        </x:is>
      </x:c>
      <x:c r="S57" t="inlineStr">
        <x:is>
          <x:t xml:space="preserve">AI Governance Panel</x:t>
        </x:is>
      </x:c>
      <x:c r="T57" s="9" t="n">
        <x:v>46330</x:v>
      </x:c>
      <x:c r="U57" t="inlineStr">
        <x:is>
          <x:t xml:space="preserve">In review</x:t>
        </x:is>
      </x:c>
      <x:c r="V57" t="inlineStr">
        <x:is>
          <x:t xml:space="preserve">No</x:t>
        </x:is>
      </x:c>
      <x:c r="W57" t="n">
        <x:v>257</x:v>
      </x:c>
      <x:c r="X57" t="inlineStr">
        <x:is>
          <x:t xml:space="preserve">Synthetic - CIE training only</x:t>
        </x:is>
      </x:c>
    </x:row>
    <x:row r="58">
      <x:c r="A58" t="inlineStr">
        <x:is>
          <x:t xml:space="preserve">LGL-26-0053</x:t>
        </x:is>
      </x:c>
      <x:c r="B58" s="9" t="n">
        <x:v>46083</x:v>
      </x:c>
      <x:c r="C58" t="inlineStr">
        <x:is>
          <x:t xml:space="preserve">Q1 2026</x:t>
        </x:is>
      </x:c>
      <x:c r="D58" t="inlineStr">
        <x:is>
          <x:t xml:space="preserve">Romania</x:t>
        </x:is>
      </x:c>
      <x:c r="E58" t="inlineStr">
        <x:is>
          <x:t xml:space="preserve">Europe</x:t>
        </x:is>
      </x:c>
      <x:c r="F58" t="inlineStr">
        <x:is>
          <x:t xml:space="preserve">Procurement</x:t>
        </x:is>
      </x:c>
      <x:c r="G58" t="inlineStr">
        <x:is>
          <x:t xml:space="preserve">Distribution agreement</x:t>
        </x:is>
      </x:c>
      <x:c r="H58" t="inlineStr">
        <x:is>
          <x:t xml:space="preserve">Distributor</x:t>
        </x:is>
      </x:c>
      <x:c r="I58" t="inlineStr">
        <x:is>
          <x:t xml:space="preserve">Granite Coast Distribution</x:t>
        </x:is>
      </x:c>
      <x:c r="J58" t="inlineStr">
        <x:is>
          <x:t xml:space="preserve">Confidentiality</x:t>
        </x:is>
      </x:c>
      <x:c r="K58" t="inlineStr">
        <x:is>
          <x:t xml:space="preserve">Major</x:t>
        </x:is>
      </x:c>
      <x:c r="L58" t="inlineStr">
        <x:is>
          <x:t xml:space="preserve">None / public</x:t>
        </x:is>
      </x:c>
      <x:c r="M58" t="inlineStr">
        <x:is>
          <x:t xml:space="preserve">None</x:t>
        </x:is>
      </x:c>
      <x:c r="N58" t="inlineStr">
        <x:is>
          <x:t xml:space="preserve">Single market</x:t>
        </x:is>
      </x:c>
      <x:c r="O58" t="n">
        <x:v>2</x:v>
      </x:c>
      <x:c r="P58" t="n">
        <x:v>3</x:v>
      </x:c>
      <x:c r="Q58" t="n">
        <x:v>6</x:v>
      </x:c>
      <x:c r="R58" t="inlineStr">
        <x:is>
          <x:t xml:space="preserve">Medium</x:t>
        </x:is>
      </x:c>
      <x:c r="S58" t="inlineStr">
        <x:is>
          <x:t xml:space="preserve">Commercial Legal</x:t>
        </x:is>
      </x:c>
      <x:c r="T58" s="9" t="n">
        <x:v>46099</x:v>
      </x:c>
      <x:c r="U58" t="inlineStr">
        <x:is>
          <x:t xml:space="preserve">Closed</x:t>
        </x:is>
      </x:c>
      <x:c r="V58" t="inlineStr">
        <x:is>
          <x:t xml:space="preserve">No</x:t>
        </x:is>
      </x:c>
      <x:c r="W58" t="n">
        <x:v>9</x:v>
      </x:c>
      <x:c r="X58" t="inlineStr">
        <x:is>
          <x:t xml:space="preserve">Synthetic - CIE training only</x:t>
        </x:is>
      </x:c>
    </x:row>
    <x:row r="59">
      <x:c r="A59" t="inlineStr">
        <x:is>
          <x:t xml:space="preserve">LGL-26-0054</x:t>
        </x:is>
      </x:c>
      <x:c r="B59" s="9" t="n">
        <x:v>46059</x:v>
      </x:c>
      <x:c r="C59" t="inlineStr">
        <x:is>
          <x:t xml:space="preserve">Q1 2026</x:t>
        </x:is>
      </x:c>
      <x:c r="D59" t="inlineStr">
        <x:is>
          <x:t xml:space="preserve">United Kingdom</x:t>
        </x:is>
      </x:c>
      <x:c r="E59" t="inlineStr">
        <x:is>
          <x:t xml:space="preserve">Europe</x:t>
        </x:is>
      </x:c>
      <x:c r="F59" t="inlineStr">
        <x:is>
          <x:t xml:space="preserve">Procurement</x:t>
        </x:is>
      </x:c>
      <x:c r="G59" t="inlineStr">
        <x:is>
          <x:t xml:space="preserve">Professional services</x:t>
        </x:is>
      </x:c>
      <x:c r="H59" t="inlineStr">
        <x:is>
          <x:t xml:space="preserve">Agency</x:t>
        </x:is>
      </x:c>
      <x:c r="I59" t="inlineStr">
        <x:is>
          <x:t xml:space="preserve">Saffron Lane Media</x:t>
        </x:is>
      </x:c>
      <x:c r="J59" t="inlineStr">
        <x:is>
          <x:t xml:space="preserve">Limitation of liability</x:t>
        </x:is>
      </x:c>
      <x:c r="K59" t="inlineStr">
        <x:is>
          <x:t xml:space="preserve">None</x:t>
        </x:is>
      </x:c>
      <x:c r="L59" t="inlineStr">
        <x:is>
          <x:t xml:space="preserve">Business confidential</x:t>
        </x:is>
      </x:c>
      <x:c r="M59" t="inlineStr">
        <x:is>
          <x:t xml:space="preserve">None</x:t>
        </x:is>
      </x:c>
      <x:c r="N59" t="inlineStr">
        <x:is>
          <x:t xml:space="preserve">Multi-jurisdiction - counsel to assess</x:t>
        </x:is>
      </x:c>
      <x:c r="O59" t="n">
        <x:v>1</x:v>
      </x:c>
      <x:c r="P59" t="n">
        <x:v>2</x:v>
      </x:c>
      <x:c r="Q59" t="n">
        <x:v>2</x:v>
      </x:c>
      <x:c r="R59" t="inlineStr">
        <x:is>
          <x:t xml:space="preserve">Low</x:t>
        </x:is>
      </x:c>
      <x:c r="S59" t="inlineStr">
        <x:is>
          <x:t xml:space="preserve">Commercial Legal</x:t>
        </x:is>
      </x:c>
      <x:c r="T59" s="9" t="n">
        <x:v>46084</x:v>
      </x:c>
      <x:c r="U59" t="inlineStr">
        <x:is>
          <x:t xml:space="preserve">Closed</x:t>
        </x:is>
      </x:c>
      <x:c r="V59" t="inlineStr">
        <x:is>
          <x:t xml:space="preserve">No</x:t>
        </x:is>
      </x:c>
      <x:c r="W59" t="n">
        <x:v>25</x:v>
      </x:c>
      <x:c r="X59" t="inlineStr">
        <x:is>
          <x:t xml:space="preserve">Synthetic - CIE training only</x:t>
        </x:is>
      </x:c>
    </x:row>
    <x:row r="60">
      <x:c r="A60" t="inlineStr">
        <x:is>
          <x:t xml:space="preserve">LGL-26-0055</x:t>
        </x:is>
      </x:c>
      <x:c r="B60" s="9" t="n">
        <x:v>46066</x:v>
      </x:c>
      <x:c r="C60" t="inlineStr">
        <x:is>
          <x:t xml:space="preserve">Q1 2026</x:t>
        </x:is>
      </x:c>
      <x:c r="D60" t="inlineStr">
        <x:is>
          <x:t xml:space="preserve">Brazil</x:t>
        </x:is>
      </x:c>
      <x:c r="E60" t="inlineStr">
        <x:is>
          <x:t xml:space="preserve">Americas</x:t>
        </x:is>
      </x:c>
      <x:c r="F60" t="inlineStr">
        <x:is>
          <x:t xml:space="preserve">Procurement</x:t>
        </x:is>
      </x:c>
      <x:c r="G60" t="inlineStr">
        <x:is>
          <x:t xml:space="preserve">SaaS / Cloud services</x:t>
        </x:is>
      </x:c>
      <x:c r="H60" t="inlineStr">
        <x:is>
          <x:t xml:space="preserve">Technology vendor</x:t>
        </x:is>
      </x:c>
      <x:c r="I60" t="inlineStr">
        <x:is>
          <x:t xml:space="preserve">Tessaro Systems BV</x:t>
        </x:is>
      </x:c>
      <x:c r="J60" t="inlineStr">
        <x:is>
          <x:t xml:space="preserve">Termination</x:t>
        </x:is>
      </x:c>
      <x:c r="K60" t="inlineStr">
        <x:is>
          <x:t xml:space="preserve">Minor</x:t>
        </x:is>
      </x:c>
      <x:c r="L60" t="inlineStr">
        <x:is>
          <x:t xml:space="preserve">None / public</x:t>
        </x:is>
      </x:c>
      <x:c r="M60" t="inlineStr">
        <x:is>
          <x:t xml:space="preserve">None</x:t>
        </x:is>
      </x:c>
      <x:c r="N60" t="inlineStr">
        <x:is>
          <x:t xml:space="preserve">Single market</x:t>
        </x:is>
      </x:c>
      <x:c r="O60" t="n">
        <x:v>1</x:v>
      </x:c>
      <x:c r="P60" t="n">
        <x:v>2</x:v>
      </x:c>
      <x:c r="Q60" t="n">
        <x:v>2</x:v>
      </x:c>
      <x:c r="R60" t="inlineStr">
        <x:is>
          <x:t xml:space="preserve">Low</x:t>
        </x:is>
      </x:c>
      <x:c r="S60" t="inlineStr">
        <x:is>
          <x:t xml:space="preserve">Commercial Legal</x:t>
        </x:is>
      </x:c>
      <x:c r="T60" s="9" t="n">
        <x:v>46091</x:v>
      </x:c>
      <x:c r="U60" t="inlineStr">
        <x:is>
          <x:t xml:space="preserve">Closed</x:t>
        </x:is>
      </x:c>
      <x:c r="V60" t="inlineStr">
        <x:is>
          <x:t xml:space="preserve">No</x:t>
        </x:is>
      </x:c>
      <x:c r="W60" t="n">
        <x:v>9</x:v>
      </x:c>
      <x:c r="X60" t="inlineStr">
        <x:is>
          <x:t xml:space="preserve">Synthetic - CIE training only</x:t>
        </x:is>
      </x:c>
    </x:row>
    <x:row r="61">
      <x:c r="A61" t="inlineStr">
        <x:is>
          <x:t xml:space="preserve">LGL-26-0056</x:t>
        </x:is>
      </x:c>
      <x:c r="B61" s="9" t="n">
        <x:v>46032</x:v>
      </x:c>
      <x:c r="C61" t="inlineStr">
        <x:is>
          <x:t xml:space="preserve">Q1 2026</x:t>
        </x:is>
      </x:c>
      <x:c r="D61" t="inlineStr">
        <x:is>
          <x:t xml:space="preserve">Brazil</x:t>
        </x:is>
      </x:c>
      <x:c r="E61" t="inlineStr">
        <x:is>
          <x:t xml:space="preserve">Americas</x:t>
        </x:is>
      </x:c>
      <x:c r="F61" t="inlineStr">
        <x:is>
          <x:t xml:space="preserve">HR</x:t>
        </x:is>
      </x:c>
      <x:c r="G61" t="inlineStr">
        <x:is>
          <x:t xml:space="preserve">Software licence</x:t>
        </x:is>
      </x:c>
      <x:c r="H61" t="inlineStr">
        <x:is>
          <x:t xml:space="preserve">Technology vendor</x:t>
        </x:is>
      </x:c>
      <x:c r="I61" t="inlineStr">
        <x:is>
          <x:t xml:space="preserve">Tessaro Systems BV</x:t>
        </x:is>
      </x:c>
      <x:c r="J61" t="inlineStr">
        <x:is>
          <x:t xml:space="preserve">Limitation of liability</x:t>
        </x:is>
      </x:c>
      <x:c r="K61" t="inlineStr">
        <x:is>
          <x:t xml:space="preserve">None</x:t>
        </x:is>
      </x:c>
      <x:c r="L61" t="inlineStr">
        <x:is>
          <x:t xml:space="preserve">None / public</x:t>
        </x:is>
      </x:c>
      <x:c r="M61" t="inlineStr">
        <x:is>
          <x:t xml:space="preserve">None</x:t>
        </x:is>
      </x:c>
      <x:c r="N61" t="inlineStr">
        <x:is>
          <x:t xml:space="preserve">Single market</x:t>
        </x:is>
      </x:c>
      <x:c r="O61" t="n">
        <x:v>2</x:v>
      </x:c>
      <x:c r="P61" t="n">
        <x:v>2</x:v>
      </x:c>
      <x:c r="Q61" t="n">
        <x:v>4</x:v>
      </x:c>
      <x:c r="R61" t="inlineStr">
        <x:is>
          <x:t xml:space="preserve">Low</x:t>
        </x:is>
      </x:c>
      <x:c r="S61" t="inlineStr">
        <x:is>
          <x:t xml:space="preserve">Commercial Legal</x:t>
        </x:is>
      </x:c>
      <x:c r="T61" s="9" t="n">
        <x:v>46052</x:v>
      </x:c>
      <x:c r="U61" t="inlineStr">
        <x:is>
          <x:t xml:space="preserve">Awaiting business info</x:t>
        </x:is>
      </x:c>
      <x:c r="V61" t="inlineStr">
        <x:is>
          <x:t xml:space="preserve">No</x:t>
        </x:is>
      </x:c>
      <x:c r="W61" t="n">
        <x:v>279</x:v>
      </x:c>
      <x:c r="X61" t="inlineStr">
        <x:is>
          <x:t xml:space="preserve">Synthetic - CIE training only</x:t>
        </x:is>
      </x:c>
    </x:row>
    <x:row r="62">
      <x:c r="A62" t="inlineStr">
        <x:is>
          <x:t xml:space="preserve">LGL-26-0057</x:t>
        </x:is>
      </x:c>
      <x:c r="B62" s="9" t="n">
        <x:v>46139</x:v>
      </x:c>
      <x:c r="C62" t="inlineStr">
        <x:is>
          <x:t xml:space="preserve">Q2 2026</x:t>
        </x:is>
      </x:c>
      <x:c r="D62" t="inlineStr">
        <x:is>
          <x:t xml:space="preserve">Poland</x:t>
        </x:is>
      </x:c>
      <x:c r="E62" t="inlineStr">
        <x:is>
          <x:t xml:space="preserve">Europe</x:t>
        </x:is>
      </x:c>
      <x:c r="F62" t="inlineStr">
        <x:is>
          <x:t xml:space="preserve">Operations</x:t>
        </x:is>
      </x:c>
      <x:c r="G62" t="inlineStr">
        <x:is>
          <x:t xml:space="preserve">NDA</x:t>
        </x:is>
      </x:c>
      <x:c r="H62" t="inlineStr">
        <x:is>
          <x:t xml:space="preserve">Consultancy</x:t>
        </x:is>
      </x:c>
      <x:c r="I62" t="inlineStr">
        <x:is>
          <x:t xml:space="preserve">Oakhurst Consulting LLP</x:t>
        </x:is>
      </x:c>
      <x:c r="J62" t="inlineStr">
        <x:is>
          <x:t xml:space="preserve">Confidentiality</x:t>
        </x:is>
      </x:c>
      <x:c r="K62" t="inlineStr">
        <x:is>
          <x:t xml:space="preserve">None</x:t>
        </x:is>
      </x:c>
      <x:c r="L62" t="inlineStr">
        <x:is>
          <x:t xml:space="preserve">None / public</x:t>
        </x:is>
      </x:c>
      <x:c r="M62" t="inlineStr">
        <x:is>
          <x:t xml:space="preserve">None</x:t>
        </x:is>
      </x:c>
      <x:c r="N62" t="inlineStr">
        <x:is>
          <x:t xml:space="preserve">Single market</x:t>
        </x:is>
      </x:c>
      <x:c r="O62" t="n">
        <x:v>1</x:v>
      </x:c>
      <x:c r="P62" t="n">
        <x:v>3</x:v>
      </x:c>
      <x:c r="Q62" t="n">
        <x:v>3</x:v>
      </x:c>
      <x:c r="R62" t="inlineStr">
        <x:is>
          <x:t xml:space="preserve">Low</x:t>
        </x:is>
      </x:c>
      <x:c r="S62" t="inlineStr">
        <x:is>
          <x:t xml:space="preserve">Commercial Legal</x:t>
        </x:is>
      </x:c>
      <x:c r="T62" s="9" t="n">
        <x:v>46162</x:v>
      </x:c>
      <x:c r="U62" t="inlineStr">
        <x:is>
          <x:t xml:space="preserve">Closed</x:t>
        </x:is>
      </x:c>
      <x:c r="V62" t="inlineStr">
        <x:is>
          <x:t xml:space="preserve">No</x:t>
        </x:is>
      </x:c>
      <x:c r="W62" t="n">
        <x:v>12</x:v>
      </x:c>
      <x:c r="X62" t="inlineStr">
        <x:is>
          <x:t xml:space="preserve">Synthetic - CIE training only</x:t>
        </x:is>
      </x:c>
    </x:row>
    <x:row r="63">
      <x:c r="A63" t="inlineStr">
        <x:is>
          <x:t xml:space="preserve">LGL-26-0058</x:t>
        </x:is>
      </x:c>
      <x:c r="B63" s="9" t="n">
        <x:v>46179</x:v>
      </x:c>
      <x:c r="C63" t="inlineStr">
        <x:is>
          <x:t xml:space="preserve">Q2 2026</x:t>
        </x:is>
      </x:c>
      <x:c r="D63" t="inlineStr">
        <x:is>
          <x:t xml:space="preserve">United Kingdom</x:t>
        </x:is>
      </x:c>
      <x:c r="E63" t="inlineStr">
        <x:is>
          <x:t xml:space="preserve">Europe</x:t>
        </x:is>
      </x:c>
      <x:c r="F63" t="inlineStr">
        <x:is>
          <x:t xml:space="preserve">HR</x:t>
        </x:is>
      </x:c>
      <x:c r="G63" t="inlineStr">
        <x:is>
          <x:t xml:space="preserve">Professional services</x:t>
        </x:is>
      </x:c>
      <x:c r="H63" t="inlineStr">
        <x:is>
          <x:t xml:space="preserve">Technology vendor</x:t>
        </x:is>
      </x:c>
      <x:c r="I63" t="inlineStr">
        <x:is>
          <x:t xml:space="preserve">Arcbridge Cloud Ltd</x:t>
        </x:is>
      </x:c>
      <x:c r="J63" t="inlineStr">
        <x:is>
          <x:t xml:space="preserve">Sub-processors</x:t>
        </x:is>
      </x:c>
      <x:c r="K63" t="inlineStr">
        <x:is>
          <x:t xml:space="preserve">Major</x:t>
        </x:is>
      </x:c>
      <x:c r="L63" t="inlineStr">
        <x:is>
          <x:t xml:space="preserve">Business confidential</x:t>
        </x:is>
      </x:c>
      <x:c r="M63" t="inlineStr">
        <x:is>
          <x:t xml:space="preserve">None</x:t>
        </x:is>
      </x:c>
      <x:c r="N63" t="inlineStr">
        <x:is>
          <x:t xml:space="preserve">Single market</x:t>
        </x:is>
      </x:c>
      <x:c r="O63" t="n">
        <x:v>3</x:v>
      </x:c>
      <x:c r="P63" t="n">
        <x:v>2</x:v>
      </x:c>
      <x:c r="Q63" t="n">
        <x:v>6</x:v>
      </x:c>
      <x:c r="R63" t="inlineStr">
        <x:is>
          <x:t xml:space="preserve">Medium</x:t>
        </x:is>
      </x:c>
      <x:c r="S63" t="inlineStr">
        <x:is>
          <x:t xml:space="preserve">Privacy Office</x:t>
        </x:is>
      </x:c>
      <x:c r="T63" s="9" t="n">
        <x:v>46312</x:v>
      </x:c>
      <x:c r="U63" t="inlineStr">
        <x:is>
          <x:t xml:space="preserve">In review</x:t>
        </x:is>
      </x:c>
      <x:c r="V63" t="inlineStr">
        <x:is>
          <x:t xml:space="preserve">No</x:t>
        </x:is>
      </x:c>
      <x:c r="W63" t="n">
        <x:v>132</x:v>
      </x:c>
      <x:c r="X63" t="inlineStr">
        <x:is>
          <x:t xml:space="preserve">Synthetic - CIE training only</x:t>
        </x:is>
      </x:c>
    </x:row>
    <x:row r="64">
      <x:c r="A64" t="inlineStr">
        <x:is>
          <x:t xml:space="preserve">LGL-26-0059</x:t>
        </x:is>
      </x:c>
      <x:c r="B64" s="9" t="n">
        <x:v>46164</x:v>
      </x:c>
      <x:c r="C64" t="inlineStr">
        <x:is>
          <x:t xml:space="preserve">Q2 2026</x:t>
        </x:is>
      </x:c>
      <x:c r="D64" t="inlineStr">
        <x:is>
          <x:t xml:space="preserve">United Kingdom</x:t>
        </x:is>
      </x:c>
      <x:c r="E64" t="inlineStr">
        <x:is>
          <x:t xml:space="preserve">Europe</x:t>
        </x:is>
      </x:c>
      <x:c r="F64" t="inlineStr">
        <x:is>
          <x:t xml:space="preserve">Digital &amp; IT</x:t>
        </x:is>
      </x:c>
      <x:c r="G64" t="inlineStr">
        <x:is>
          <x:t xml:space="preserve">AI use request (internal)</x:t>
        </x:is>
      </x:c>
      <x:c r="H64" t="inlineStr">
        <x:is>
          <x:t xml:space="preserve">Internal (no counterparty)</x:t>
        </x:is>
      </x:c>
      <x:c r="I64" t="inlineStr">
        <x:is>
          <x:t xml:space="preserve">Internal request</x:t>
        </x:is>
      </x:c>
      <x:c r="J64" t="inlineStr">
        <x:is>
          <x:t xml:space="preserve">Limitation of liability</x:t>
        </x:is>
      </x:c>
      <x:c r="K64" t="inlineStr">
        <x:is>
          <x:t xml:space="preserve">Minor</x:t>
        </x:is>
      </x:c>
      <x:c r="L64" t="inlineStr">
        <x:is>
          <x:t xml:space="preserve">Personal data - consumer (adult)</x:t>
        </x:is>
      </x:c>
      <x:c r="M64" t="inlineStr">
        <x:is>
          <x:t xml:space="preserve">AI-enabled feature</x:t>
        </x:is>
      </x:c>
      <x:c r="N64" t="inlineStr">
        <x:is>
          <x:t xml:space="preserve">Cross-border data transfer</x:t>
        </x:is>
      </x:c>
      <x:c r="O64" t="n">
        <x:v>2</x:v>
      </x:c>
      <x:c r="P64" t="n">
        <x:v>2</x:v>
      </x:c>
      <x:c r="Q64" t="n">
        <x:v>4</x:v>
      </x:c>
      <x:c r="R64" t="inlineStr">
        <x:is>
          <x:t xml:space="preserve">Low</x:t>
        </x:is>
      </x:c>
      <x:c r="S64" t="inlineStr">
        <x:is>
          <x:t xml:space="preserve">Commercial Legal</x:t>
        </x:is>
      </x:c>
      <x:c r="T64" s="9" t="n">
        <x:v>46185</x:v>
      </x:c>
      <x:c r="U64" t="inlineStr">
        <x:is>
          <x:t xml:space="preserve">Closed</x:t>
        </x:is>
      </x:c>
      <x:c r="V64" t="inlineStr">
        <x:is>
          <x:t xml:space="preserve">No</x:t>
        </x:is>
      </x:c>
      <x:c r="W64" t="n">
        <x:v>15</x:v>
      </x:c>
      <x:c r="X64" t="inlineStr">
        <x:is>
          <x:t xml:space="preserve">Synthetic - CIE training only</x:t>
        </x:is>
      </x:c>
    </x:row>
    <x:row r="65">
      <x:c r="A65" t="inlineStr">
        <x:is>
          <x:t xml:space="preserve">LGL-26-0060</x:t>
        </x:is>
      </x:c>
      <x:c r="B65" s="9" t="n">
        <x:v>46164</x:v>
      </x:c>
      <x:c r="C65" t="inlineStr">
        <x:is>
          <x:t xml:space="preserve">Q2 2026</x:t>
        </x:is>
      </x:c>
      <x:c r="D65" t="inlineStr">
        <x:is>
          <x:t xml:space="preserve">Germany</x:t>
        </x:is>
      </x:c>
      <x:c r="E65" t="inlineStr">
        <x:is>
          <x:t xml:space="preserve">Europe</x:t>
        </x:is>
      </x:c>
      <x:c r="F65" t="inlineStr">
        <x:is>
          <x:t xml:space="preserve">Digital &amp; IT</x:t>
        </x:is>
      </x:c>
      <x:c r="G65" t="inlineStr">
        <x:is>
          <x:t xml:space="preserve">AI use request (internal)</x:t>
        </x:is>
      </x:c>
      <x:c r="H65" t="inlineStr">
        <x:is>
          <x:t xml:space="preserve">Internal (no counterparty)</x:t>
        </x:is>
      </x:c>
      <x:c r="I65" t="inlineStr">
        <x:is>
          <x:t xml:space="preserve">Internal request</x:t>
        </x:is>
      </x:c>
      <x:c r="J65" t="inlineStr">
        <x:is>
          <x:t xml:space="preserve">AI transparency</x:t>
        </x:is>
      </x:c>
      <x:c r="K65" t="inlineStr">
        <x:is>
          <x:t xml:space="preserve">Minor</x:t>
        </x:is>
      </x:c>
      <x:c r="L65" t="inlineStr">
        <x:is>
          <x:t xml:space="preserve">None / public</x:t>
        </x:is>
      </x:c>
      <x:c r="M65" t="inlineStr">
        <x:is>
          <x:t xml:space="preserve">AI-enabled feature</x:t>
        </x:is>
      </x:c>
      <x:c r="N65" t="inlineStr">
        <x:is>
          <x:t xml:space="preserve">Single market</x:t>
        </x:is>
      </x:c>
      <x:c r="O65" t="n">
        <x:v>2</x:v>
      </x:c>
      <x:c r="P65" t="n">
        <x:v>2</x:v>
      </x:c>
      <x:c r="Q65" t="n">
        <x:v>4</x:v>
      </x:c>
      <x:c r="R65" t="inlineStr">
        <x:is>
          <x:t xml:space="preserve">Low</x:t>
        </x:is>
      </x:c>
      <x:c r="S65" t="inlineStr">
        <x:is>
          <x:t xml:space="preserve">AI Governance Panel</x:t>
        </x:is>
      </x:c>
      <x:c r="T65" s="9" t="n">
        <x:v>46188</x:v>
      </x:c>
      <x:c r="U65" t="inlineStr">
        <x:is>
          <x:t xml:space="preserve">Closed</x:t>
        </x:is>
      </x:c>
      <x:c r="V65" t="inlineStr">
        <x:is>
          <x:t xml:space="preserve">No</x:t>
        </x:is>
      </x:c>
      <x:c r="W65" t="n">
        <x:v>10</x:v>
      </x:c>
      <x:c r="X65" t="inlineStr">
        <x:is>
          <x:t xml:space="preserve">Synthetic - CIE training only</x:t>
        </x:is>
      </x:c>
    </x:row>
    <x:row r="66">
      <x:c r="A66" t="inlineStr">
        <x:is>
          <x:t xml:space="preserve">LGL-26-0061</x:t>
        </x:is>
      </x:c>
      <x:c r="B66" s="9" t="n">
        <x:v>46155</x:v>
      </x:c>
      <x:c r="C66" t="inlineStr">
        <x:is>
          <x:t xml:space="preserve">Q2 2026</x:t>
        </x:is>
      </x:c>
      <x:c r="D66" t="inlineStr">
        <x:is>
          <x:t xml:space="preserve">Brazil</x:t>
        </x:is>
      </x:c>
      <x:c r="E66" t="inlineStr">
        <x:is>
          <x:t xml:space="preserve">Americas</x:t>
        </x:is>
      </x:c>
      <x:c r="F66" t="inlineStr">
        <x:is>
          <x:t xml:space="preserve">Corporate Affairs</x:t>
        </x:is>
      </x:c>
      <x:c r="G66" t="inlineStr">
        <x:is>
          <x:t xml:space="preserve">SaaS / Cloud services</x:t>
        </x:is>
      </x:c>
      <x:c r="H66" t="inlineStr">
        <x:is>
          <x:t xml:space="preserve">AI/analytics vendor</x:t>
        </x:is>
      </x:c>
      <x:c r="I66" t="inlineStr">
        <x:is>
          <x:t xml:space="preserve">Kestrel Signal Labs</x:t>
        </x:is>
      </x:c>
      <x:c r="J66" t="inlineStr">
        <x:is>
          <x:t xml:space="preserve">IP in outputs</x:t>
        </x:is>
      </x:c>
      <x:c r="K66" t="inlineStr">
        <x:is>
          <x:t xml:space="preserve">Minor</x:t>
        </x:is>
      </x:c>
      <x:c r="L66" t="inlineStr">
        <x:is>
          <x:t xml:space="preserve">Personal data - consumer (adult)</x:t>
        </x:is>
      </x:c>
      <x:c r="M66" t="inlineStr">
        <x:is>
          <x:t xml:space="preserve">Model training on BAT data</x:t>
        </x:is>
      </x:c>
      <x:c r="N66" t="inlineStr">
        <x:is>
          <x:t xml:space="preserve">Emerging AI regulation - counsel to assess</x:t>
        </x:is>
      </x:c>
      <x:c r="O66" t="n">
        <x:v>3</x:v>
      </x:c>
      <x:c r="P66" t="n">
        <x:v>4</x:v>
      </x:c>
      <x:c r="Q66" t="n">
        <x:v>12</x:v>
      </x:c>
      <x:c r="R66" t="inlineStr">
        <x:is>
          <x:t xml:space="preserve">High</x:t>
        </x:is>
      </x:c>
      <x:c r="S66" t="inlineStr">
        <x:is>
          <x:t xml:space="preserve">Digital &amp; Data Legal</x:t>
        </x:is>
      </x:c>
      <x:c r="T66" s="9" t="n">
        <x:v>46165</x:v>
      </x:c>
      <x:c r="U66" t="inlineStr">
        <x:is>
          <x:t xml:space="preserve">Awaiting business info</x:t>
        </x:is>
      </x:c>
      <x:c r="V66" t="inlineStr">
        <x:is>
          <x:t xml:space="preserve">No</x:t>
        </x:is>
      </x:c>
      <x:c r="W66" t="n">
        <x:v>156</x:v>
      </x:c>
      <x:c r="X66" t="inlineStr">
        <x:is>
          <x:t xml:space="preserve">Synthetic - CIE training only</x:t>
        </x:is>
      </x:c>
    </x:row>
    <x:row r="67">
      <x:c r="A67" t="inlineStr">
        <x:is>
          <x:t xml:space="preserve">LGL-26-0062</x:t>
        </x:is>
      </x:c>
      <x:c r="B67" s="9" t="n">
        <x:v>46183</x:v>
      </x:c>
      <x:c r="C67" t="inlineStr">
        <x:is>
          <x:t xml:space="preserve">Q2 2026</x:t>
        </x:is>
      </x:c>
      <x:c r="D67" t="inlineStr">
        <x:is>
          <x:t xml:space="preserve">Poland</x:t>
        </x:is>
      </x:c>
      <x:c r="E67" t="inlineStr">
        <x:is>
          <x:t xml:space="preserve">Europe</x:t>
        </x:is>
      </x:c>
      <x:c r="F67" t="inlineStr">
        <x:is>
          <x:t xml:space="preserve">Procurement</x:t>
        </x:is>
      </x:c>
      <x:c r="G67" t="inlineStr">
        <x:is>
          <x:t xml:space="preserve">SaaS / Cloud services</x:t>
        </x:is>
      </x:c>
      <x:c r="H67" t="inlineStr">
        <x:is>
          <x:t xml:space="preserve">Technology vendor</x:t>
        </x:is>
      </x:c>
      <x:c r="I67" t="inlineStr">
        <x:is>
          <x:t xml:space="preserve">Halcyon Workflow Inc</x:t>
        </x:is>
      </x:c>
      <x:c r="J67" t="inlineStr">
        <x:is>
          <x:t xml:space="preserve">Confidentiality</x:t>
        </x:is>
      </x:c>
      <x:c r="K67" t="inlineStr">
        <x:is>
          <x:t xml:space="preserve">None</x:t>
        </x:is>
      </x:c>
      <x:c r="L67" t="inlineStr">
        <x:is>
          <x:t xml:space="preserve">Business confidential</x:t>
        </x:is>
      </x:c>
      <x:c r="M67" t="inlineStr">
        <x:is>
          <x:t xml:space="preserve">None</x:t>
        </x:is>
      </x:c>
      <x:c r="N67" t="inlineStr">
        <x:is>
          <x:t xml:space="preserve">Single market</x:t>
        </x:is>
      </x:c>
      <x:c r="O67" t="n">
        <x:v>1</x:v>
      </x:c>
      <x:c r="P67" t="n">
        <x:v>2</x:v>
      </x:c>
      <x:c r="Q67" t="n">
        <x:v>2</x:v>
      </x:c>
      <x:c r="R67" t="inlineStr">
        <x:is>
          <x:t xml:space="preserve">Low</x:t>
        </x:is>
      </x:c>
      <x:c r="S67" t="inlineStr">
        <x:is>
          <x:t xml:space="preserve">Commercial Legal</x:t>
        </x:is>
      </x:c>
      <x:c r="T67" s="9" t="n">
        <x:v>46205</x:v>
      </x:c>
      <x:c r="U67" t="inlineStr">
        <x:is>
          <x:t xml:space="preserve">Closed</x:t>
        </x:is>
      </x:c>
      <x:c r="V67" t="inlineStr">
        <x:is>
          <x:t xml:space="preserve">No</x:t>
        </x:is>
      </x:c>
      <x:c r="W67" t="n">
        <x:v>7</x:v>
      </x:c>
      <x:c r="X67" t="inlineStr">
        <x:is>
          <x:t xml:space="preserve">Synthetic - CIE training only</x:t>
        </x:is>
      </x:c>
    </x:row>
    <x:row r="68">
      <x:c r="A68" t="inlineStr">
        <x:is>
          <x:t xml:space="preserve">LGL-26-0063</x:t>
        </x:is>
      </x:c>
      <x:c r="B68" s="9" t="n">
        <x:v>46177</x:v>
      </x:c>
      <x:c r="C68" t="inlineStr">
        <x:is>
          <x:t xml:space="preserve">Q2 2026</x:t>
        </x:is>
      </x:c>
      <x:c r="D68" t="inlineStr">
        <x:is>
          <x:t xml:space="preserve">United Kingdom</x:t>
        </x:is>
      </x:c>
      <x:c r="E68" t="inlineStr">
        <x:is>
          <x:t xml:space="preserve">Europe</x:t>
        </x:is>
      </x:c>
      <x:c r="F68" t="inlineStr">
        <x:is>
          <x:t xml:space="preserve">Digital &amp; IT</x:t>
        </x:is>
      </x:c>
      <x:c r="G68" t="inlineStr">
        <x:is>
          <x:t xml:space="preserve">Marketing agency agreement</x:t>
        </x:is>
      </x:c>
      <x:c r="H68" t="inlineStr">
        <x:is>
          <x:t xml:space="preserve">Agency</x:t>
        </x:is>
      </x:c>
      <x:c r="I68" t="inlineStr">
        <x:is>
          <x:t xml:space="preserve">Lantern &amp; Reed Agency</x:t>
        </x:is>
      </x:c>
      <x:c r="J68" t="inlineStr">
        <x:is>
          <x:t xml:space="preserve">Termination</x:t>
        </x:is>
      </x:c>
      <x:c r="K68" t="inlineStr">
        <x:is>
          <x:t xml:space="preserve">Major</x:t>
        </x:is>
      </x:c>
      <x:c r="L68" t="inlineStr">
        <x:is>
          <x:t xml:space="preserve">None / public</x:t>
        </x:is>
      </x:c>
      <x:c r="M68" t="inlineStr">
        <x:is>
          <x:t xml:space="preserve">None</x:t>
        </x:is>
      </x:c>
      <x:c r="N68" t="inlineStr">
        <x:is>
          <x:t xml:space="preserve">Single market</x:t>
        </x:is>
      </x:c>
      <x:c r="O68" t="n">
        <x:v>4</x:v>
      </x:c>
      <x:c r="P68" t="n">
        <x:v>3</x:v>
      </x:c>
      <x:c r="Q68" t="n">
        <x:v>12</x:v>
      </x:c>
      <x:c r="R68" t="inlineStr">
        <x:is>
          <x:t xml:space="preserve">High</x:t>
        </x:is>
      </x:c>
      <x:c r="S68" t="inlineStr">
        <x:is>
          <x:t xml:space="preserve">Commercial Legal</x:t>
        </x:is>
      </x:c>
      <x:c r="T68" s="9" t="n">
        <x:v>46187</x:v>
      </x:c>
      <x:c r="U68" t="inlineStr">
        <x:is>
          <x:t xml:space="preserve">Awaiting business info</x:t>
        </x:is>
      </x:c>
      <x:c r="V68" t="inlineStr">
        <x:is>
          <x:t xml:space="preserve">No</x:t>
        </x:is>
      </x:c>
      <x:c r="W68" t="n">
        <x:v>134</x:v>
      </x:c>
      <x:c r="X68" t="inlineStr">
        <x:is>
          <x:t xml:space="preserve">Synthetic - CIE training only</x:t>
        </x:is>
      </x:c>
    </x:row>
    <x:row r="69">
      <x:c r="A69" t="inlineStr">
        <x:is>
          <x:t xml:space="preserve">LGL-26-0064</x:t>
        </x:is>
      </x:c>
      <x:c r="B69" s="9" t="n">
        <x:v>46197</x:v>
      </x:c>
      <x:c r="C69" t="inlineStr">
        <x:is>
          <x:t xml:space="preserve">Q2 2026</x:t>
        </x:is>
      </x:c>
      <x:c r="D69" t="inlineStr">
        <x:is>
          <x:t xml:space="preserve">Kenya</x:t>
        </x:is>
      </x:c>
      <x:c r="E69" t="inlineStr">
        <x:is>
          <x:t xml:space="preserve">Middle East &amp; Africa</x:t>
        </x:is>
      </x:c>
      <x:c r="F69" t="inlineStr">
        <x:is>
          <x:t xml:space="preserve">Corporate Affairs</x:t>
        </x:is>
      </x:c>
      <x:c r="G69" t="inlineStr">
        <x:is>
          <x:t xml:space="preserve">Data sharing agreement</x:t>
        </x:is>
      </x:c>
      <x:c r="H69" t="inlineStr">
        <x:is>
          <x:t xml:space="preserve">AI/analytics vendor</x:t>
        </x:is>
      </x:c>
      <x:c r="I69" t="inlineStr">
        <x:is>
          <x:t xml:space="preserve">Lumora Analytics Ltd</x:t>
        </x:is>
      </x:c>
      <x:c r="J69" t="inlineStr">
        <x:is>
          <x:t xml:space="preserve">Audit rights</x:t>
        </x:is>
      </x:c>
      <x:c r="K69" t="inlineStr">
        <x:is>
          <x:t xml:space="preserve">Minor</x:t>
        </x:is>
      </x:c>
      <x:c r="L69" t="inlineStr">
        <x:is>
          <x:t xml:space="preserve">Personal data - consumer (adult)</x:t>
        </x:is>
      </x:c>
      <x:c r="M69" t="inlineStr">
        <x:is>
          <x:t xml:space="preserve">Automated decision support</x:t>
        </x:is>
      </x:c>
      <x:c r="N69" t="inlineStr">
        <x:is>
          <x:t xml:space="preserve">Emerging AI regulation - counsel to assess</x:t>
        </x:is>
      </x:c>
      <x:c r="O69" t="n">
        <x:v>2</x:v>
      </x:c>
      <x:c r="P69" t="n">
        <x:v>3</x:v>
      </x:c>
      <x:c r="Q69" t="n">
        <x:v>6</x:v>
      </x:c>
      <x:c r="R69" t="inlineStr">
        <x:is>
          <x:t xml:space="preserve">Medium</x:t>
        </x:is>
      </x:c>
      <x:c r="S69" t="inlineStr">
        <x:is>
          <x:t xml:space="preserve">Digital &amp; Data Legal</x:t>
        </x:is>
      </x:c>
      <x:c r="T69" s="9" t="n">
        <x:v>46214</x:v>
      </x:c>
      <x:c r="U69" t="inlineStr">
        <x:is>
          <x:t xml:space="preserve">Closed</x:t>
        </x:is>
      </x:c>
      <x:c r="V69" t="inlineStr">
        <x:is>
          <x:t xml:space="preserve">No</x:t>
        </x:is>
      </x:c>
      <x:c r="W69" t="n">
        <x:v>25</x:v>
      </x:c>
      <x:c r="X69" t="inlineStr">
        <x:is>
          <x:t xml:space="preserve">Synthetic - CIE training only</x:t>
        </x:is>
      </x:c>
    </x:row>
    <x:row r="70">
      <x:c r="A70" t="inlineStr">
        <x:is>
          <x:t xml:space="preserve">LGL-26-0065</x:t>
        </x:is>
      </x:c>
      <x:c r="B70" s="9" t="n">
        <x:v>46128</x:v>
      </x:c>
      <x:c r="C70" t="inlineStr">
        <x:is>
          <x:t xml:space="preserve">Q2 2026</x:t>
        </x:is>
      </x:c>
      <x:c r="D70" t="inlineStr">
        <x:is>
          <x:t xml:space="preserve">Germany</x:t>
        </x:is>
      </x:c>
      <x:c r="E70" t="inlineStr">
        <x:is>
          <x:t xml:space="preserve">Europe</x:t>
        </x:is>
      </x:c>
      <x:c r="F70" t="inlineStr">
        <x:is>
          <x:t xml:space="preserve">Operations</x:t>
        </x:is>
      </x:c>
      <x:c r="G70" t="inlineStr">
        <x:is>
          <x:t xml:space="preserve">Professional services</x:t>
        </x:is>
      </x:c>
      <x:c r="H70" t="inlineStr">
        <x:is>
          <x:t xml:space="preserve">Consultancy</x:t>
        </x:is>
      </x:c>
      <x:c r="I70" t="inlineStr">
        <x:is>
          <x:t xml:space="preserve">Oakhurst Consulting LLP</x:t>
        </x:is>
      </x:c>
      <x:c r="J70" t="inlineStr">
        <x:is>
          <x:t xml:space="preserve">Limitation of liability</x:t>
        </x:is>
      </x:c>
      <x:c r="K70" t="inlineStr">
        <x:is>
          <x:t xml:space="preserve">None</x:t>
        </x:is>
      </x:c>
      <x:c r="L70" t="inlineStr">
        <x:is>
          <x:t xml:space="preserve">Business confidential</x:t>
        </x:is>
      </x:c>
      <x:c r="M70" t="inlineStr">
        <x:is>
          <x:t xml:space="preserve">None</x:t>
        </x:is>
      </x:c>
      <x:c r="N70" t="inlineStr">
        <x:is>
          <x:t xml:space="preserve">Single market</x:t>
        </x:is>
      </x:c>
      <x:c r="O70" t="n">
        <x:v>2</x:v>
      </x:c>
      <x:c r="P70" t="n">
        <x:v>3</x:v>
      </x:c>
      <x:c r="Q70" t="n">
        <x:v>6</x:v>
      </x:c>
      <x:c r="R70" t="inlineStr">
        <x:is>
          <x:t xml:space="preserve">Medium</x:t>
        </x:is>
      </x:c>
      <x:c r="S70" t="inlineStr">
        <x:is>
          <x:t xml:space="preserve">Commercial Legal</x:t>
        </x:is>
      </x:c>
      <x:c r="T70" s="9" t="n">
        <x:v>46318</x:v>
      </x:c>
      <x:c r="U70" t="inlineStr">
        <x:is>
          <x:t xml:space="preserve">In review</x:t>
        </x:is>
      </x:c>
      <x:c r="V70" t="inlineStr">
        <x:is>
          <x:t xml:space="preserve">No</x:t>
        </x:is>
      </x:c>
      <x:c r="W70" t="n">
        <x:v>183</x:v>
      </x:c>
      <x:c r="X70" t="inlineStr">
        <x:is>
          <x:t xml:space="preserve">Synthetic - CIE training only</x:t>
        </x:is>
      </x:c>
    </x:row>
    <x:row r="71">
      <x:c r="A71" t="inlineStr">
        <x:is>
          <x:t xml:space="preserve">LGL-26-0066</x:t>
        </x:is>
      </x:c>
      <x:c r="B71" s="9" t="n">
        <x:v>46179</x:v>
      </x:c>
      <x:c r="C71" t="inlineStr">
        <x:is>
          <x:t xml:space="preserve">Q2 2026</x:t>
        </x:is>
      </x:c>
      <x:c r="D71" t="inlineStr">
        <x:is>
          <x:t xml:space="preserve">Brazil</x:t>
        </x:is>
      </x:c>
      <x:c r="E71" t="inlineStr">
        <x:is>
          <x:t xml:space="preserve">Americas</x:t>
        </x:is>
      </x:c>
      <x:c r="F71" t="inlineStr">
        <x:is>
          <x:t xml:space="preserve">Operations</x:t>
        </x:is>
      </x:c>
      <x:c r="G71" t="inlineStr">
        <x:is>
          <x:t xml:space="preserve">Distribution agreement</x:t>
        </x:is>
      </x:c>
      <x:c r="H71" t="inlineStr">
        <x:is>
          <x:t xml:space="preserve">Distributor</x:t>
        </x:is>
      </x:c>
      <x:c r="I71" t="inlineStr">
        <x:is>
          <x:t xml:space="preserve">Granite Coast Distribution</x:t>
        </x:is>
      </x:c>
      <x:c r="J71" t="inlineStr">
        <x:is>
          <x:t xml:space="preserve">Confidentiality</x:t>
        </x:is>
      </x:c>
      <x:c r="K71" t="inlineStr">
        <x:is>
          <x:t xml:space="preserve">Minor</x:t>
        </x:is>
      </x:c>
      <x:c r="L71" t="inlineStr">
        <x:is>
          <x:t xml:space="preserve">Personal data - consumer (adult)</x:t>
        </x:is>
      </x:c>
      <x:c r="M71" t="inlineStr">
        <x:is>
          <x:t xml:space="preserve">None</x:t>
        </x:is>
      </x:c>
      <x:c r="N71" t="inlineStr">
        <x:is>
          <x:t xml:space="preserve">Single market</x:t>
        </x:is>
      </x:c>
      <x:c r="O71" t="n">
        <x:v>1</x:v>
      </x:c>
      <x:c r="P71" t="n">
        <x:v>3</x:v>
      </x:c>
      <x:c r="Q71" t="n">
        <x:v>3</x:v>
      </x:c>
      <x:c r="R71" t="inlineStr">
        <x:is>
          <x:t xml:space="preserve">Low</x:t>
        </x:is>
      </x:c>
      <x:c r="S71" t="inlineStr">
        <x:is>
          <x:t xml:space="preserve">Commercial Legal</x:t>
        </x:is>
      </x:c>
      <x:c r="T71" s="9" t="n">
        <x:v>46201</x:v>
      </x:c>
      <x:c r="U71" t="inlineStr">
        <x:is>
          <x:t xml:space="preserve">Closed</x:t>
        </x:is>
      </x:c>
      <x:c r="V71" t="inlineStr">
        <x:is>
          <x:t xml:space="preserve">No</x:t>
        </x:is>
      </x:c>
      <x:c r="W71" t="n">
        <x:v>3</x:v>
      </x:c>
      <x:c r="X71" t="inlineStr">
        <x:is>
          <x:t xml:space="preserve">Synthetic - CIE training only</x:t>
        </x:is>
      </x:c>
    </x:row>
    <x:row r="72">
      <x:c r="A72" t="inlineStr">
        <x:is>
          <x:t xml:space="preserve">LGL-26-0067</x:t>
        </x:is>
      </x:c>
      <x:c r="B72" s="9" t="n">
        <x:v>46188</x:v>
      </x:c>
      <x:c r="C72" t="inlineStr">
        <x:is>
          <x:t xml:space="preserve">Q2 2026</x:t>
        </x:is>
      </x:c>
      <x:c r="D72" t="inlineStr">
        <x:is>
          <x:t xml:space="preserve">Kenya</x:t>
        </x:is>
      </x:c>
      <x:c r="E72" t="inlineStr">
        <x:is>
          <x:t xml:space="preserve">Middle East &amp; Africa</x:t>
        </x:is>
      </x:c>
      <x:c r="F72" t="inlineStr">
        <x:is>
          <x:t xml:space="preserve">Finance</x:t>
        </x:is>
      </x:c>
      <x:c r="G72" t="inlineStr">
        <x:is>
          <x:t xml:space="preserve">Distribution agreement</x:t>
        </x:is>
      </x:c>
      <x:c r="H72" t="inlineStr">
        <x:is>
          <x:t xml:space="preserve">Distributor</x:t>
        </x:is>
      </x:c>
      <x:c r="I72" t="inlineStr">
        <x:is>
          <x:t xml:space="preserve">Tidewater Logistics Co</x:t>
        </x:is>
      </x:c>
      <x:c r="J72" t="inlineStr">
        <x:is>
          <x:t xml:space="preserve">Confidentiality</x:t>
        </x:is>
      </x:c>
      <x:c r="K72" t="inlineStr">
        <x:is>
          <x:t xml:space="preserve">Minor</x:t>
        </x:is>
      </x:c>
      <x:c r="L72" t="inlineStr">
        <x:is>
          <x:t xml:space="preserve">None / public</x:t>
        </x:is>
      </x:c>
      <x:c r="M72" t="inlineStr">
        <x:is>
          <x:t xml:space="preserve">None</x:t>
        </x:is>
      </x:c>
      <x:c r="N72" t="inlineStr">
        <x:is>
          <x:t xml:space="preserve">Multi-jurisdiction - counsel to assess</x:t>
        </x:is>
      </x:c>
      <x:c r="O72" t="n">
        <x:v>2</x:v>
      </x:c>
      <x:c r="P72" t="n">
        <x:v>3</x:v>
      </x:c>
      <x:c r="Q72" t="n">
        <x:v>6</x:v>
      </x:c>
      <x:c r="R72" t="inlineStr">
        <x:is>
          <x:t xml:space="preserve">Medium</x:t>
        </x:is>
      </x:c>
      <x:c r="S72" t="inlineStr">
        <x:is>
          <x:t xml:space="preserve">Commercial Legal</x:t>
        </x:is>
      </x:c>
      <x:c r="T72" s="9" t="n">
        <x:v>46204</x:v>
      </x:c>
      <x:c r="U72" t="inlineStr">
        <x:is>
          <x:t xml:space="preserve">Closed</x:t>
        </x:is>
      </x:c>
      <x:c r="V72" t="inlineStr">
        <x:is>
          <x:t xml:space="preserve">No</x:t>
        </x:is>
      </x:c>
      <x:c r="W72" t="n">
        <x:v>24</x:v>
      </x:c>
      <x:c r="X72" t="inlineStr">
        <x:is>
          <x:t xml:space="preserve">Synthetic - CIE training only</x:t>
        </x:is>
      </x:c>
    </x:row>
    <x:row r="73">
      <x:c r="A73" t="inlineStr">
        <x:is>
          <x:t xml:space="preserve">LGL-26-0068</x:t>
        </x:is>
      </x:c>
      <x:c r="B73" s="9" t="n">
        <x:v>46199</x:v>
      </x:c>
      <x:c r="C73" t="inlineStr">
        <x:is>
          <x:t xml:space="preserve">Q2 2026</x:t>
        </x:is>
      </x:c>
      <x:c r="D73" t="inlineStr">
        <x:is>
          <x:t xml:space="preserve">United Kingdom</x:t>
        </x:is>
      </x:c>
      <x:c r="E73" t="inlineStr">
        <x:is>
          <x:t xml:space="preserve">Europe</x:t>
        </x:is>
      </x:c>
      <x:c r="F73" t="inlineStr">
        <x:is>
          <x:t xml:space="preserve">Operations</x:t>
        </x:is>
      </x:c>
      <x:c r="G73" t="inlineStr">
        <x:is>
          <x:t xml:space="preserve">Data sharing agreement</x:t>
        </x:is>
      </x:c>
      <x:c r="H73" t="inlineStr">
        <x:is>
          <x:t xml:space="preserve">AI/analytics vendor</x:t>
        </x:is>
      </x:c>
      <x:c r="I73" t="inlineStr">
        <x:is>
          <x:t xml:space="preserve">Northvale Insights SA</x:t>
        </x:is>
      </x:c>
      <x:c r="J73" t="inlineStr">
        <x:is>
          <x:t xml:space="preserve">AI transparency</x:t>
        </x:is>
      </x:c>
      <x:c r="K73" t="inlineStr">
        <x:is>
          <x:t xml:space="preserve">Minor</x:t>
        </x:is>
      </x:c>
      <x:c r="L73" t="inlineStr">
        <x:is>
          <x:t xml:space="preserve">Personal data - employee</x:t>
        </x:is>
      </x:c>
      <x:c r="M73" t="inlineStr">
        <x:is>
          <x:t xml:space="preserve">Model training on BAT data</x:t>
        </x:is>
      </x:c>
      <x:c r="N73" t="inlineStr">
        <x:is>
          <x:t xml:space="preserve">Emerging AI regulation - counsel to assess</x:t>
        </x:is>
      </x:c>
      <x:c r="O73" t="n">
        <x:v>3</x:v>
      </x:c>
      <x:c r="P73" t="n">
        <x:v>5</x:v>
      </x:c>
      <x:c r="Q73" t="n">
        <x:v>15</x:v>
      </x:c>
      <x:c r="R73" t="inlineStr">
        <x:is>
          <x:t xml:space="preserve">High</x:t>
        </x:is>
      </x:c>
      <x:c r="S73" t="inlineStr">
        <x:is>
          <x:t xml:space="preserve">AI Governance Panel</x:t>
        </x:is>
      </x:c>
      <x:c r="T73" s="9" t="n">
        <x:v>46213</x:v>
      </x:c>
      <x:c r="U73" t="inlineStr">
        <x:is>
          <x:t xml:space="preserve">Closed</x:t>
        </x:is>
      </x:c>
      <x:c r="V73" t="inlineStr">
        <x:is>
          <x:t xml:space="preserve">Yes</x:t>
        </x:is>
      </x:c>
      <x:c r="W73" t="n">
        <x:v>27</x:v>
      </x:c>
      <x:c r="X73" t="inlineStr">
        <x:is>
          <x:t xml:space="preserve">Synthetic - CIE training only</x:t>
        </x:is>
      </x:c>
    </x:row>
    <x:row r="74">
      <x:c r="A74" t="inlineStr">
        <x:is>
          <x:t xml:space="preserve">LGL-26-0069</x:t>
        </x:is>
      </x:c>
      <x:c r="B74" s="9" t="n">
        <x:v>46181</x:v>
      </x:c>
      <x:c r="C74" t="inlineStr">
        <x:is>
          <x:t xml:space="preserve">Q2 2026</x:t>
        </x:is>
      </x:c>
      <x:c r="D74" t="inlineStr">
        <x:is>
          <x:t xml:space="preserve">Poland</x:t>
        </x:is>
      </x:c>
      <x:c r="E74" t="inlineStr">
        <x:is>
          <x:t xml:space="preserve">Europe</x:t>
        </x:is>
      </x:c>
      <x:c r="F74" t="inlineStr">
        <x:is>
          <x:t xml:space="preserve">Digital &amp; IT</x:t>
        </x:is>
      </x:c>
      <x:c r="G74" t="inlineStr">
        <x:is>
          <x:t xml:space="preserve">SaaS / Cloud services</x:t>
        </x:is>
      </x:c>
      <x:c r="H74" t="inlineStr">
        <x:is>
          <x:t xml:space="preserve">Technology vendor</x:t>
        </x:is>
      </x:c>
      <x:c r="I74" t="inlineStr">
        <x:is>
          <x:t xml:space="preserve">Halcyon Workflow Inc</x:t>
        </x:is>
      </x:c>
      <x:c r="J74" t="inlineStr">
        <x:is>
          <x:t xml:space="preserve">Sub-processors</x:t>
        </x:is>
      </x:c>
      <x:c r="K74" t="inlineStr">
        <x:is>
          <x:t xml:space="preserve">None</x:t>
        </x:is>
      </x:c>
      <x:c r="L74" t="inlineStr">
        <x:is>
          <x:t xml:space="preserve">Personal data - consumer (adult)</x:t>
        </x:is>
      </x:c>
      <x:c r="M74" t="inlineStr">
        <x:is>
          <x:t xml:space="preserve">AI-enabled feature</x:t>
        </x:is>
      </x:c>
      <x:c r="N74" t="inlineStr">
        <x:is>
          <x:t xml:space="preserve">Emerging AI regulation - counsel to assess</x:t>
        </x:is>
      </x:c>
      <x:c r="O74" t="n">
        <x:v>2</x:v>
      </x:c>
      <x:c r="P74" t="n">
        <x:v>4</x:v>
      </x:c>
      <x:c r="Q74" t="n">
        <x:v>8</x:v>
      </x:c>
      <x:c r="R74" t="inlineStr">
        <x:is>
          <x:t xml:space="preserve">Medium</x:t>
        </x:is>
      </x:c>
      <x:c r="S74" t="inlineStr">
        <x:is>
          <x:t xml:space="preserve">Privacy Office</x:t>
        </x:is>
      </x:c>
      <x:c r="T74" s="9" t="n">
        <x:v>46196</x:v>
      </x:c>
      <x:c r="U74" t="inlineStr">
        <x:is>
          <x:t xml:space="preserve">Awaiting business info</x:t>
        </x:is>
      </x:c>
      <x:c r="V74" t="inlineStr">
        <x:is>
          <x:t xml:space="preserve">No</x:t>
        </x:is>
      </x:c>
      <x:c r="W74" t="n">
        <x:v>130</x:v>
      </x:c>
      <x:c r="X74" t="inlineStr">
        <x:is>
          <x:t xml:space="preserve">Synthetic - CIE training only</x:t>
        </x:is>
      </x:c>
    </x:row>
    <x:row r="75">
      <x:c r="A75" t="inlineStr">
        <x:is>
          <x:t xml:space="preserve">LGL-26-0070</x:t>
        </x:is>
      </x:c>
      <x:c r="B75" s="9" t="n">
        <x:v>46139</x:v>
      </x:c>
      <x:c r="C75" t="inlineStr">
        <x:is>
          <x:t xml:space="preserve">Q2 2026</x:t>
        </x:is>
      </x:c>
      <x:c r="D75" t="inlineStr">
        <x:is>
          <x:t xml:space="preserve">Romania</x:t>
        </x:is>
      </x:c>
      <x:c r="E75" t="inlineStr">
        <x:is>
          <x:t xml:space="preserve">Europe</x:t>
        </x:is>
      </x:c>
      <x:c r="F75" t="inlineStr">
        <x:is>
          <x:t xml:space="preserve">HR</x:t>
        </x:is>
      </x:c>
      <x:c r="G75" t="inlineStr">
        <x:is>
          <x:t xml:space="preserve">Data sharing agreement</x:t>
        </x:is>
      </x:c>
      <x:c r="H75" t="inlineStr">
        <x:is>
          <x:t xml:space="preserve">AI/analytics vendor</x:t>
        </x:is>
      </x:c>
      <x:c r="I75" t="inlineStr">
        <x:is>
          <x:t xml:space="preserve">Brightfold Data Pte</x:t>
        </x:is>
      </x:c>
      <x:c r="J75" t="inlineStr">
        <x:is>
          <x:t xml:space="preserve">Termination</x:t>
        </x:is>
      </x:c>
      <x:c r="K75" t="inlineStr">
        <x:is>
          <x:t xml:space="preserve">Minor</x:t>
        </x:is>
      </x:c>
      <x:c r="L75" t="inlineStr">
        <x:is>
          <x:t xml:space="preserve">Business confidential</x:t>
        </x:is>
      </x:c>
      <x:c r="M75" t="inlineStr">
        <x:is>
          <x:t xml:space="preserve">Model training on BAT data</x:t>
        </x:is>
      </x:c>
      <x:c r="N75" t="inlineStr">
        <x:is>
          <x:t xml:space="preserve">Emerging AI regulation - counsel to assess</x:t>
        </x:is>
      </x:c>
      <x:c r="O75" t="n">
        <x:v>3</x:v>
      </x:c>
      <x:c r="P75" t="n">
        <x:v>3</x:v>
      </x:c>
      <x:c r="Q75" t="n">
        <x:v>9</x:v>
      </x:c>
      <x:c r="R75" t="inlineStr">
        <x:is>
          <x:t xml:space="preserve">Medium</x:t>
        </x:is>
      </x:c>
      <x:c r="S75" t="inlineStr">
        <x:is>
          <x:t xml:space="preserve">Commercial Legal</x:t>
        </x:is>
      </x:c>
      <x:c r="T75" s="9" t="n">
        <x:v>46158</x:v>
      </x:c>
      <x:c r="U75" t="inlineStr">
        <x:is>
          <x:t xml:space="preserve">Closed</x:t>
        </x:is>
      </x:c>
      <x:c r="V75" t="inlineStr">
        <x:is>
          <x:t xml:space="preserve">No</x:t>
        </x:is>
      </x:c>
      <x:c r="W75" t="n">
        <x:v>18</x:v>
      </x:c>
      <x:c r="X75" t="inlineStr">
        <x:is>
          <x:t xml:space="preserve">Synthetic - CIE training only</x:t>
        </x:is>
      </x:c>
    </x:row>
    <x:row r="76">
      <x:c r="A76" t="inlineStr">
        <x:is>
          <x:t xml:space="preserve">LGL-26-0071</x:t>
        </x:is>
      </x:c>
      <x:c r="B76" s="9" t="n">
        <x:v>46198</x:v>
      </x:c>
      <x:c r="C76" t="inlineStr">
        <x:is>
          <x:t xml:space="preserve">Q2 2026</x:t>
        </x:is>
      </x:c>
      <x:c r="D76" t="inlineStr">
        <x:is>
          <x:t xml:space="preserve">United Kingdom</x:t>
        </x:is>
      </x:c>
      <x:c r="E76" t="inlineStr">
        <x:is>
          <x:t xml:space="preserve">Europe</x:t>
        </x:is>
      </x:c>
      <x:c r="F76" t="inlineStr">
        <x:is>
          <x:t xml:space="preserve">HR</x:t>
        </x:is>
      </x:c>
      <x:c r="G76" t="inlineStr">
        <x:is>
          <x:t xml:space="preserve">Marketing agency agreement</x:t>
        </x:is>
      </x:c>
      <x:c r="H76" t="inlineStr">
        <x:is>
          <x:t xml:space="preserve">Agency</x:t>
        </x:is>
      </x:c>
      <x:c r="I76" t="inlineStr">
        <x:is>
          <x:t xml:space="preserve">Saffron Lane Media</x:t>
        </x:is>
      </x:c>
      <x:c r="J76" t="inlineStr">
        <x:is>
          <x:t xml:space="preserve">Confidentiality</x:t>
        </x:is>
      </x:c>
      <x:c r="K76" t="inlineStr">
        <x:is>
          <x:t xml:space="preserve">Minor</x:t>
        </x:is>
      </x:c>
      <x:c r="L76" t="inlineStr">
        <x:is>
          <x:t xml:space="preserve">Personal data - consumer (adult)</x:t>
        </x:is>
      </x:c>
      <x:c r="M76" t="inlineStr">
        <x:is>
          <x:t xml:space="preserve">None</x:t>
        </x:is>
      </x:c>
      <x:c r="N76" t="inlineStr">
        <x:is>
          <x:t xml:space="preserve">Single market</x:t>
        </x:is>
      </x:c>
      <x:c r="O76" t="n">
        <x:v>2</x:v>
      </x:c>
      <x:c r="P76" t="n">
        <x:v>4</x:v>
      </x:c>
      <x:c r="Q76" t="n">
        <x:v>8</x:v>
      </x:c>
      <x:c r="R76" t="inlineStr">
        <x:is>
          <x:t xml:space="preserve">Medium</x:t>
        </x:is>
      </x:c>
      <x:c r="S76" t="inlineStr">
        <x:is>
          <x:t xml:space="preserve">Commercial Legal</x:t>
        </x:is>
      </x:c>
      <x:c r="T76" s="9" t="n">
        <x:v>46213</x:v>
      </x:c>
      <x:c r="U76" t="inlineStr">
        <x:is>
          <x:t xml:space="preserve">Closed</x:t>
        </x:is>
      </x:c>
      <x:c r="V76" t="inlineStr">
        <x:is>
          <x:t xml:space="preserve">No</x:t>
        </x:is>
      </x:c>
      <x:c r="W76" t="n">
        <x:v>7</x:v>
      </x:c>
      <x:c r="X76" t="inlineStr">
        <x:is>
          <x:t xml:space="preserve">Synthetic - CIE training only</x:t>
        </x:is>
      </x:c>
    </x:row>
    <x:row r="77">
      <x:c r="A77" t="inlineStr">
        <x:is>
          <x:t xml:space="preserve">LGL-26-0072</x:t>
        </x:is>
      </x:c>
      <x:c r="B77" s="9" t="n">
        <x:v>46181</x:v>
      </x:c>
      <x:c r="C77" t="inlineStr">
        <x:is>
          <x:t xml:space="preserve">Q2 2026</x:t>
        </x:is>
      </x:c>
      <x:c r="D77" t="inlineStr">
        <x:is>
          <x:t xml:space="preserve">Japan</x:t>
        </x:is>
      </x:c>
      <x:c r="E77" t="inlineStr">
        <x:is>
          <x:t xml:space="preserve">Asia-Pacific</x:t>
        </x:is>
      </x:c>
      <x:c r="F77" t="inlineStr">
        <x:is>
          <x:t xml:space="preserve">Corporate Affairs</x:t>
        </x:is>
      </x:c>
      <x:c r="G77" t="inlineStr">
        <x:is>
          <x:t xml:space="preserve">SaaS / Cloud services</x:t>
        </x:is>
      </x:c>
      <x:c r="H77" t="inlineStr">
        <x:is>
          <x:t xml:space="preserve">Technology vendor</x:t>
        </x:is>
      </x:c>
      <x:c r="I77" t="inlineStr">
        <x:is>
          <x:t xml:space="preserve">Arcbridge Cloud Ltd</x:t>
        </x:is>
      </x:c>
      <x:c r="J77" t="inlineStr">
        <x:is>
          <x:t xml:space="preserve">Confidentiality</x:t>
        </x:is>
      </x:c>
      <x:c r="K77" t="inlineStr">
        <x:is>
          <x:t xml:space="preserve">None</x:t>
        </x:is>
      </x:c>
      <x:c r="L77" t="inlineStr">
        <x:is>
          <x:t xml:space="preserve">None / public</x:t>
        </x:is>
      </x:c>
      <x:c r="M77" t="inlineStr">
        <x:is>
          <x:t xml:space="preserve">None</x:t>
        </x:is>
      </x:c>
      <x:c r="N77" t="inlineStr">
        <x:is>
          <x:t xml:space="preserve">Single market</x:t>
        </x:is>
      </x:c>
      <x:c r="O77" t="n">
        <x:v>1</x:v>
      </x:c>
      <x:c r="P77" t="n">
        <x:v>3</x:v>
      </x:c>
      <x:c r="Q77" t="n">
        <x:v>3</x:v>
      </x:c>
      <x:c r="R77" t="inlineStr">
        <x:is>
          <x:t xml:space="preserve">Low</x:t>
        </x:is>
      </x:c>
      <x:c r="S77" t="inlineStr">
        <x:is>
          <x:t xml:space="preserve">Commercial Legal</x:t>
        </x:is>
      </x:c>
      <x:c r="T77" s="9" t="n">
        <x:v>46206</x:v>
      </x:c>
      <x:c r="U77" t="inlineStr">
        <x:is>
          <x:t xml:space="preserve">Closed</x:t>
        </x:is>
      </x:c>
      <x:c r="V77" t="inlineStr">
        <x:is>
          <x:t xml:space="preserve">No</x:t>
        </x:is>
      </x:c>
      <x:c r="W77" t="n">
        <x:v>19</x:v>
      </x:c>
      <x:c r="X77" t="inlineStr">
        <x:is>
          <x:t xml:space="preserve">Synthetic - CIE training only</x:t>
        </x:is>
      </x:c>
    </x:row>
    <x:row r="78">
      <x:c r="A78" t="inlineStr">
        <x:is>
          <x:t xml:space="preserve">LGL-26-0073</x:t>
        </x:is>
      </x:c>
      <x:c r="B78" s="9" t="n">
        <x:v>46123</x:v>
      </x:c>
      <x:c r="C78" t="inlineStr">
        <x:is>
          <x:t xml:space="preserve">Q2 2026</x:t>
        </x:is>
      </x:c>
      <x:c r="D78" t="inlineStr">
        <x:is>
          <x:t xml:space="preserve">Brazil</x:t>
        </x:is>
      </x:c>
      <x:c r="E78" t="inlineStr">
        <x:is>
          <x:t xml:space="preserve">Americas</x:t>
        </x:is>
      </x:c>
      <x:c r="F78" t="inlineStr">
        <x:is>
          <x:t xml:space="preserve">Procurement</x:t>
        </x:is>
      </x:c>
      <x:c r="G78" t="inlineStr">
        <x:is>
          <x:t xml:space="preserve">AI use request (internal)</x:t>
        </x:is>
      </x:c>
      <x:c r="H78" t="inlineStr">
        <x:is>
          <x:t xml:space="preserve">AI/analytics vendor</x:t>
        </x:is>
      </x:c>
      <x:c r="I78" t="inlineStr">
        <x:is>
          <x:t xml:space="preserve">Kestrel Signal Labs</x:t>
        </x:is>
      </x:c>
      <x:c r="J78" t="inlineStr">
        <x:is>
          <x:t xml:space="preserve">Sub-processors</x:t>
        </x:is>
      </x:c>
      <x:c r="K78" t="inlineStr">
        <x:is>
          <x:t xml:space="preserve">Major</x:t>
        </x:is>
      </x:c>
      <x:c r="L78" t="inlineStr">
        <x:is>
          <x:t xml:space="preserve">Personal data - consumer (adult)</x:t>
        </x:is>
      </x:c>
      <x:c r="M78" t="inlineStr">
        <x:is>
          <x:t xml:space="preserve">AI-enabled feature</x:t>
        </x:is>
      </x:c>
      <x:c r="N78" t="inlineStr">
        <x:is>
          <x:t xml:space="preserve">Emerging AI regulation - counsel to assess</x:t>
        </x:is>
      </x:c>
      <x:c r="O78" t="n">
        <x:v>3</x:v>
      </x:c>
      <x:c r="P78" t="n">
        <x:v>4</x:v>
      </x:c>
      <x:c r="Q78" t="n">
        <x:v>12</x:v>
      </x:c>
      <x:c r="R78" t="inlineStr">
        <x:is>
          <x:t xml:space="preserve">High</x:t>
        </x:is>
      </x:c>
      <x:c r="S78" t="inlineStr">
        <x:is>
          <x:t xml:space="preserve">Privacy Office</x:t>
        </x:is>
      </x:c>
      <x:c r="T78" s="9" t="n">
        <x:v>46138</x:v>
      </x:c>
      <x:c r="U78" t="inlineStr">
        <x:is>
          <x:t xml:space="preserve">Closed</x:t>
        </x:is>
      </x:c>
      <x:c r="V78" t="inlineStr">
        <x:is>
          <x:t xml:space="preserve">No</x:t>
        </x:is>
      </x:c>
      <x:c r="W78" t="n">
        <x:v>28</x:v>
      </x:c>
      <x:c r="X78" t="inlineStr">
        <x:is>
          <x:t xml:space="preserve">Synthetic - CIE training only</x:t>
        </x:is>
      </x:c>
    </x:row>
    <x:row r="79">
      <x:c r="A79" t="inlineStr">
        <x:is>
          <x:t xml:space="preserve">LGL-26-0074</x:t>
        </x:is>
      </x:c>
      <x:c r="B79" s="9" t="n">
        <x:v>46158</x:v>
      </x:c>
      <x:c r="C79" t="inlineStr">
        <x:is>
          <x:t xml:space="preserve">Q2 2026</x:t>
        </x:is>
      </x:c>
      <x:c r="D79" t="inlineStr">
        <x:is>
          <x:t xml:space="preserve">Poland</x:t>
        </x:is>
      </x:c>
      <x:c r="E79" t="inlineStr">
        <x:is>
          <x:t xml:space="preserve">Europe</x:t>
        </x:is>
      </x:c>
      <x:c r="F79" t="inlineStr">
        <x:is>
          <x:t xml:space="preserve">Digital &amp; IT</x:t>
        </x:is>
      </x:c>
      <x:c r="G79" t="inlineStr">
        <x:is>
          <x:t xml:space="preserve">SaaS / Cloud services</x:t>
        </x:is>
      </x:c>
      <x:c r="H79" t="inlineStr">
        <x:is>
          <x:t xml:space="preserve">Technology vendor</x:t>
        </x:is>
      </x:c>
      <x:c r="I79" t="inlineStr">
        <x:is>
          <x:t xml:space="preserve">Halcyon Workflow Inc</x:t>
        </x:is>
      </x:c>
      <x:c r="J79" t="inlineStr">
        <x:is>
          <x:t xml:space="preserve">Limitation of liability</x:t>
        </x:is>
      </x:c>
      <x:c r="K79" t="inlineStr">
        <x:is>
          <x:t xml:space="preserve">Critical</x:t>
        </x:is>
      </x:c>
      <x:c r="L79" t="inlineStr">
        <x:is>
          <x:t xml:space="preserve">Personal data - employee</x:t>
        </x:is>
      </x:c>
      <x:c r="M79" t="inlineStr">
        <x:is>
          <x:t xml:space="preserve">None</x:t>
        </x:is>
      </x:c>
      <x:c r="N79" t="inlineStr">
        <x:is>
          <x:t xml:space="preserve">Single market</x:t>
        </x:is>
      </x:c>
      <x:c r="O79" t="n">
        <x:v>4</x:v>
      </x:c>
      <x:c r="P79" t="n">
        <x:v>4</x:v>
      </x:c>
      <x:c r="Q79" t="n">
        <x:v>16</x:v>
      </x:c>
      <x:c r="R79" t="inlineStr">
        <x:is>
          <x:t xml:space="preserve">Critical</x:t>
        </x:is>
      </x:c>
      <x:c r="S79" t="inlineStr">
        <x:is>
          <x:t xml:space="preserve">Commercial Legal</x:t>
        </x:is>
      </x:c>
      <x:c r="T79" s="9" t="n">
        <x:v>46164</x:v>
      </x:c>
      <x:c r="U79" t="inlineStr">
        <x:is>
          <x:t xml:space="preserve">Closed</x:t>
        </x:is>
      </x:c>
      <x:c r="V79" t="inlineStr">
        <x:is>
          <x:t xml:space="preserve">No</x:t>
        </x:is>
      </x:c>
      <x:c r="W79" t="n">
        <x:v>9</x:v>
      </x:c>
      <x:c r="X79" t="inlineStr">
        <x:is>
          <x:t xml:space="preserve">Synthetic - CIE training only</x:t>
        </x:is>
      </x:c>
    </x:row>
    <x:row r="80">
      <x:c r="A80" t="inlineStr">
        <x:is>
          <x:t xml:space="preserve">LGL-26-0075</x:t>
        </x:is>
      </x:c>
      <x:c r="B80" s="9" t="n">
        <x:v>46156</x:v>
      </x:c>
      <x:c r="C80" t="inlineStr">
        <x:is>
          <x:t xml:space="preserve">Q2 2026</x:t>
        </x:is>
      </x:c>
      <x:c r="D80" t="inlineStr">
        <x:is>
          <x:t xml:space="preserve">Indonesia</x:t>
        </x:is>
      </x:c>
      <x:c r="E80" t="inlineStr">
        <x:is>
          <x:t xml:space="preserve">Asia-Pacific</x:t>
        </x:is>
      </x:c>
      <x:c r="F80" t="inlineStr">
        <x:is>
          <x:t xml:space="preserve">Operations</x:t>
        </x:is>
      </x:c>
      <x:c r="G80" t="inlineStr">
        <x:is>
          <x:t xml:space="preserve">Distribution agreement</x:t>
        </x:is>
      </x:c>
      <x:c r="H80" t="inlineStr">
        <x:is>
          <x:t xml:space="preserve">Distributor</x:t>
        </x:is>
      </x:c>
      <x:c r="I80" t="inlineStr">
        <x:is>
          <x:t xml:space="preserve">Tidewater Logistics Co</x:t>
        </x:is>
      </x:c>
      <x:c r="J80" t="inlineStr">
        <x:is>
          <x:t xml:space="preserve">Governing law</x:t>
        </x:is>
      </x:c>
      <x:c r="K80" t="inlineStr">
        <x:is>
          <x:t xml:space="preserve">None</x:t>
        </x:is>
      </x:c>
      <x:c r="L80" t="inlineStr">
        <x:is>
          <x:t xml:space="preserve">Business confidential</x:t>
        </x:is>
      </x:c>
      <x:c r="M80" t="inlineStr">
        <x:is>
          <x:t xml:space="preserve">None</x:t>
        </x:is>
      </x:c>
      <x:c r="N80" t="inlineStr">
        <x:is>
          <x:t xml:space="preserve">Multi-jurisdiction - counsel to assess</x:t>
        </x:is>
      </x:c>
      <x:c r="O80" t="n">
        <x:v>1</x:v>
      </x:c>
      <x:c r="P80" t="n">
        <x:v>2</x:v>
      </x:c>
      <x:c r="Q80" t="n">
        <x:v>2</x:v>
      </x:c>
      <x:c r="R80" t="inlineStr">
        <x:is>
          <x:t xml:space="preserve">Low</x:t>
        </x:is>
      </x:c>
      <x:c r="S80" t="inlineStr">
        <x:is>
          <x:t xml:space="preserve">Market Counsel</x:t>
        </x:is>
      </x:c>
      <x:c r="T80" s="9" t="n">
        <x:v>46179</x:v>
      </x:c>
      <x:c r="U80" t="inlineStr">
        <x:is>
          <x:t xml:space="preserve">Closed</x:t>
        </x:is>
      </x:c>
      <x:c r="V80" t="inlineStr">
        <x:is>
          <x:t xml:space="preserve">No</x:t>
        </x:is>
      </x:c>
      <x:c r="W80" t="n">
        <x:v>18</x:v>
      </x:c>
      <x:c r="X80" t="inlineStr">
        <x:is>
          <x:t xml:space="preserve">Synthetic - CIE training only</x:t>
        </x:is>
      </x:c>
    </x:row>
    <x:row r="81">
      <x:c r="A81" t="inlineStr">
        <x:is>
          <x:t xml:space="preserve">LGL-26-0076</x:t>
        </x:is>
      </x:c>
      <x:c r="B81" s="9" t="n">
        <x:v>46115</x:v>
      </x:c>
      <x:c r="C81" t="inlineStr">
        <x:is>
          <x:t xml:space="preserve">Q2 2026</x:t>
        </x:is>
      </x:c>
      <x:c r="D81" t="inlineStr">
        <x:is>
          <x:t xml:space="preserve">Germany</x:t>
        </x:is>
      </x:c>
      <x:c r="E81" t="inlineStr">
        <x:is>
          <x:t xml:space="preserve">Europe</x:t>
        </x:is>
      </x:c>
      <x:c r="F81" t="inlineStr">
        <x:is>
          <x:t xml:space="preserve">Marketing</x:t>
        </x:is>
      </x:c>
      <x:c r="G81" t="inlineStr">
        <x:is>
          <x:t xml:space="preserve">SaaS / Cloud services</x:t>
        </x:is>
      </x:c>
      <x:c r="H81" t="inlineStr">
        <x:is>
          <x:t xml:space="preserve">AI/analytics vendor</x:t>
        </x:is>
      </x:c>
      <x:c r="I81" t="inlineStr">
        <x:is>
          <x:t xml:space="preserve">Lumora Analytics Ltd</x:t>
        </x:is>
      </x:c>
      <x:c r="J81" t="inlineStr">
        <x:is>
          <x:t xml:space="preserve">AI transparency</x:t>
        </x:is>
      </x:c>
      <x:c r="K81" t="inlineStr">
        <x:is>
          <x:t xml:space="preserve">Minor</x:t>
        </x:is>
      </x:c>
      <x:c r="L81" t="inlineStr">
        <x:is>
          <x:t xml:space="preserve">Personal data - consumer (adult)</x:t>
        </x:is>
      </x:c>
      <x:c r="M81" t="inlineStr">
        <x:is>
          <x:t xml:space="preserve">Automated decision support</x:t>
        </x:is>
      </x:c>
      <x:c r="N81" t="inlineStr">
        <x:is>
          <x:t xml:space="preserve">Emerging AI regulation - counsel to assess</x:t>
        </x:is>
      </x:c>
      <x:c r="O81" t="n">
        <x:v>1</x:v>
      </x:c>
      <x:c r="P81" t="n">
        <x:v>4</x:v>
      </x:c>
      <x:c r="Q81" t="n">
        <x:v>4</x:v>
      </x:c>
      <x:c r="R81" t="inlineStr">
        <x:is>
          <x:t xml:space="preserve">Low</x:t>
        </x:is>
      </x:c>
      <x:c r="S81" t="inlineStr">
        <x:is>
          <x:t xml:space="preserve">AI Governance Panel</x:t>
        </x:is>
      </x:c>
      <x:c r="T81" s="9" t="n">
        <x:v>46312</x:v>
      </x:c>
      <x:c r="U81" t="inlineStr">
        <x:is>
          <x:t xml:space="preserve">In review</x:t>
        </x:is>
      </x:c>
      <x:c r="V81" t="inlineStr">
        <x:is>
          <x:t xml:space="preserve">No</x:t>
        </x:is>
      </x:c>
      <x:c r="W81" t="n">
        <x:v>196</x:v>
      </x:c>
      <x:c r="X81" t="inlineStr">
        <x:is>
          <x:t xml:space="preserve">Synthetic - CIE training only</x:t>
        </x:is>
      </x:c>
    </x:row>
    <x:row r="82">
      <x:c r="A82" t="inlineStr">
        <x:is>
          <x:t xml:space="preserve">LGL-26-0077</x:t>
        </x:is>
      </x:c>
      <x:c r="B82" s="9" t="n">
        <x:v>46175</x:v>
      </x:c>
      <x:c r="C82" t="inlineStr">
        <x:is>
          <x:t xml:space="preserve">Q2 2026</x:t>
        </x:is>
      </x:c>
      <x:c r="D82" t="inlineStr">
        <x:is>
          <x:t xml:space="preserve">Kenya</x:t>
        </x:is>
      </x:c>
      <x:c r="E82" t="inlineStr">
        <x:is>
          <x:t xml:space="preserve">Middle East &amp; Africa</x:t>
        </x:is>
      </x:c>
      <x:c r="F82" t="inlineStr">
        <x:is>
          <x:t xml:space="preserve">Digital &amp; IT</x:t>
        </x:is>
      </x:c>
      <x:c r="G82" t="inlineStr">
        <x:is>
          <x:t xml:space="preserve">SaaS / Cloud services</x:t>
        </x:is>
      </x:c>
      <x:c r="H82" t="inlineStr">
        <x:is>
          <x:t xml:space="preserve">Technology vendor</x:t>
        </x:is>
      </x:c>
      <x:c r="I82" t="inlineStr">
        <x:is>
          <x:t xml:space="preserve">Pinemark Software Ltd</x:t>
        </x:is>
      </x:c>
      <x:c r="J82" t="inlineStr">
        <x:is>
          <x:t xml:space="preserve">IP in outputs</x:t>
        </x:is>
      </x:c>
      <x:c r="K82" t="inlineStr">
        <x:is>
          <x:t xml:space="preserve">None</x:t>
        </x:is>
      </x:c>
      <x:c r="L82" t="inlineStr">
        <x:is>
          <x:t xml:space="preserve">Business confidential</x:t>
        </x:is>
      </x:c>
      <x:c r="M82" t="inlineStr">
        <x:is>
          <x:t xml:space="preserve">AI-enabled feature</x:t>
        </x:is>
      </x:c>
      <x:c r="N82" t="inlineStr">
        <x:is>
          <x:t xml:space="preserve">Single market</x:t>
        </x:is>
      </x:c>
      <x:c r="O82" t="n">
        <x:v>2</x:v>
      </x:c>
      <x:c r="P82" t="n">
        <x:v>3</x:v>
      </x:c>
      <x:c r="Q82" t="n">
        <x:v>6</x:v>
      </x:c>
      <x:c r="R82" t="inlineStr">
        <x:is>
          <x:t xml:space="preserve">Medium</x:t>
        </x:is>
      </x:c>
      <x:c r="S82" t="inlineStr">
        <x:is>
          <x:t xml:space="preserve">Digital &amp; Data Legal</x:t>
        </x:is>
      </x:c>
      <x:c r="T82" s="9" t="n">
        <x:v>46194</x:v>
      </x:c>
      <x:c r="U82" t="inlineStr">
        <x:is>
          <x:t xml:space="preserve">Closed</x:t>
        </x:is>
      </x:c>
      <x:c r="V82" t="inlineStr">
        <x:is>
          <x:t xml:space="preserve">No</x:t>
        </x:is>
      </x:c>
      <x:c r="W82" t="n">
        <x:v>14</x:v>
      </x:c>
      <x:c r="X82" t="inlineStr">
        <x:is>
          <x:t xml:space="preserve">Synthetic - CIE training only</x:t>
        </x:is>
      </x:c>
    </x:row>
    <x:row r="83">
      <x:c r="A83" t="inlineStr">
        <x:is>
          <x:t xml:space="preserve">LGL-26-0078</x:t>
        </x:is>
      </x:c>
      <x:c r="B83" s="9" t="n">
        <x:v>46131</x:v>
      </x:c>
      <x:c r="C83" t="inlineStr">
        <x:is>
          <x:t xml:space="preserve">Q2 2026</x:t>
        </x:is>
      </x:c>
      <x:c r="D83" t="inlineStr">
        <x:is>
          <x:t xml:space="preserve">Kenya</x:t>
        </x:is>
      </x:c>
      <x:c r="E83" t="inlineStr">
        <x:is>
          <x:t xml:space="preserve">Middle East &amp; Africa</x:t>
        </x:is>
      </x:c>
      <x:c r="F83" t="inlineStr">
        <x:is>
          <x:t xml:space="preserve">Corporate Affairs</x:t>
        </x:is>
      </x:c>
      <x:c r="G83" t="inlineStr">
        <x:is>
          <x:t xml:space="preserve">Professional services</x:t>
        </x:is>
      </x:c>
      <x:c r="H83" t="inlineStr">
        <x:is>
          <x:t xml:space="preserve">Technology vendor</x:t>
        </x:is>
      </x:c>
      <x:c r="I83" t="inlineStr">
        <x:is>
          <x:t xml:space="preserve">Pinemark Software Ltd</x:t>
        </x:is>
      </x:c>
      <x:c r="J83" t="inlineStr">
        <x:is>
          <x:t xml:space="preserve">Governing law</x:t>
        </x:is>
      </x:c>
      <x:c r="K83" t="inlineStr">
        <x:is>
          <x:t xml:space="preserve">None</x:t>
        </x:is>
      </x:c>
      <x:c r="L83" t="inlineStr">
        <x:is>
          <x:t xml:space="preserve">Business confidential</x:t>
        </x:is>
      </x:c>
      <x:c r="M83" t="inlineStr">
        <x:is>
          <x:t xml:space="preserve">None</x:t>
        </x:is>
      </x:c>
      <x:c r="N83" t="inlineStr">
        <x:is>
          <x:t xml:space="preserve">Single market</x:t>
        </x:is>
      </x:c>
      <x:c r="O83" t="n">
        <x:v>2</x:v>
      </x:c>
      <x:c r="P83" t="n">
        <x:v>2</x:v>
      </x:c>
      <x:c r="Q83" t="n">
        <x:v>4</x:v>
      </x:c>
      <x:c r="R83" t="inlineStr">
        <x:is>
          <x:t xml:space="preserve">Low</x:t>
        </x:is>
      </x:c>
      <x:c r="S83" t="inlineStr">
        <x:is>
          <x:t xml:space="preserve">Market Counsel</x:t>
        </x:is>
      </x:c>
      <x:c r="T83" s="9" t="n">
        <x:v>46151</x:v>
      </x:c>
      <x:c r="U83" t="inlineStr">
        <x:is>
          <x:t xml:space="preserve">Awaiting business info</x:t>
        </x:is>
      </x:c>
      <x:c r="V83" t="inlineStr">
        <x:is>
          <x:t xml:space="preserve">No</x:t>
        </x:is>
      </x:c>
      <x:c r="W83" t="n">
        <x:v>180</x:v>
      </x:c>
      <x:c r="X83" t="inlineStr">
        <x:is>
          <x:t xml:space="preserve">Synthetic - CIE training only</x:t>
        </x:is>
      </x:c>
    </x:row>
    <x:row r="84">
      <x:c r="A84" t="inlineStr">
        <x:is>
          <x:t xml:space="preserve">LGL-26-0079</x:t>
        </x:is>
      </x:c>
      <x:c r="B84" s="9" t="n">
        <x:v>46130</x:v>
      </x:c>
      <x:c r="C84" t="inlineStr">
        <x:is>
          <x:t xml:space="preserve">Q2 2026</x:t>
        </x:is>
      </x:c>
      <x:c r="D84" t="inlineStr">
        <x:is>
          <x:t xml:space="preserve">South Africa</x:t>
        </x:is>
      </x:c>
      <x:c r="E84" t="inlineStr">
        <x:is>
          <x:t xml:space="preserve">Middle East &amp; Africa</x:t>
        </x:is>
      </x:c>
      <x:c r="F84" t="inlineStr">
        <x:is>
          <x:t xml:space="preserve">Digital &amp; IT</x:t>
        </x:is>
      </x:c>
      <x:c r="G84" t="inlineStr">
        <x:is>
          <x:t xml:space="preserve">AI use request (internal)</x:t>
        </x:is>
      </x:c>
      <x:c r="H84" t="inlineStr">
        <x:is>
          <x:t xml:space="preserve">Internal (no counterparty)</x:t>
        </x:is>
      </x:c>
      <x:c r="I84" t="inlineStr">
        <x:is>
          <x:t xml:space="preserve">Internal request</x:t>
        </x:is>
      </x:c>
      <x:c r="J84" t="inlineStr">
        <x:is>
          <x:t xml:space="preserve">Audit rights</x:t>
        </x:is>
      </x:c>
      <x:c r="K84" t="inlineStr">
        <x:is>
          <x:t xml:space="preserve">Minor</x:t>
        </x:is>
      </x:c>
      <x:c r="L84" t="inlineStr">
        <x:is>
          <x:t xml:space="preserve">Personal data - consumer (adult)</x:t>
        </x:is>
      </x:c>
      <x:c r="M84" t="inlineStr">
        <x:is>
          <x:t xml:space="preserve">AI-enabled feature</x:t>
        </x:is>
      </x:c>
      <x:c r="N84" t="inlineStr">
        <x:is>
          <x:t xml:space="preserve">Emerging AI regulation - counsel to assess</x:t>
        </x:is>
      </x:c>
      <x:c r="O84" t="n">
        <x:v>3</x:v>
      </x:c>
      <x:c r="P84" t="n">
        <x:v>3</x:v>
      </x:c>
      <x:c r="Q84" t="n">
        <x:v>9</x:v>
      </x:c>
      <x:c r="R84" t="inlineStr">
        <x:is>
          <x:t xml:space="preserve">Medium</x:t>
        </x:is>
      </x:c>
      <x:c r="S84" t="inlineStr">
        <x:is>
          <x:t xml:space="preserve">Digital &amp; Data Legal</x:t>
        </x:is>
      </x:c>
      <x:c r="T84" s="9" t="n">
        <x:v>46146</x:v>
      </x:c>
      <x:c r="U84" t="inlineStr">
        <x:is>
          <x:t xml:space="preserve">Closed</x:t>
        </x:is>
      </x:c>
      <x:c r="V84" t="inlineStr">
        <x:is>
          <x:t xml:space="preserve">No</x:t>
        </x:is>
      </x:c>
      <x:c r="W84" t="n">
        <x:v>21</x:v>
      </x:c>
      <x:c r="X84" t="inlineStr">
        <x:is>
          <x:t xml:space="preserve">Synthetic - CIE training only</x:t>
        </x:is>
      </x:c>
    </x:row>
    <x:row r="85">
      <x:c r="A85" t="inlineStr">
        <x:is>
          <x:t xml:space="preserve">LGL-26-0080</x:t>
        </x:is>
      </x:c>
      <x:c r="B85" s="9" t="n">
        <x:v>46133</x:v>
      </x:c>
      <x:c r="C85" t="inlineStr">
        <x:is>
          <x:t xml:space="preserve">Q2 2026</x:t>
        </x:is>
      </x:c>
      <x:c r="D85" t="inlineStr">
        <x:is>
          <x:t xml:space="preserve">Indonesia</x:t>
        </x:is>
      </x:c>
      <x:c r="E85" t="inlineStr">
        <x:is>
          <x:t xml:space="preserve">Asia-Pacific</x:t>
        </x:is>
      </x:c>
      <x:c r="F85" t="inlineStr">
        <x:is>
          <x:t xml:space="preserve">Finance</x:t>
        </x:is>
      </x:c>
      <x:c r="G85" t="inlineStr">
        <x:is>
          <x:t xml:space="preserve">Marketing agency agreement</x:t>
        </x:is>
      </x:c>
      <x:c r="H85" t="inlineStr">
        <x:is>
          <x:t xml:space="preserve">Agency</x:t>
        </x:is>
      </x:c>
      <x:c r="I85" t="inlineStr">
        <x:is>
          <x:t xml:space="preserve">Corvid Creative Partners</x:t>
        </x:is>
      </x:c>
      <x:c r="J85" t="inlineStr">
        <x:is>
          <x:t xml:space="preserve">Sub-processors</x:t>
        </x:is>
      </x:c>
      <x:c r="K85" t="inlineStr">
        <x:is>
          <x:t xml:space="preserve">None</x:t>
        </x:is>
      </x:c>
      <x:c r="L85" t="inlineStr">
        <x:is>
          <x:t xml:space="preserve">None / public</x:t>
        </x:is>
      </x:c>
      <x:c r="M85" t="inlineStr">
        <x:is>
          <x:t xml:space="preserve">None</x:t>
        </x:is>
      </x:c>
      <x:c r="N85" t="inlineStr">
        <x:is>
          <x:t xml:space="preserve">Single market</x:t>
        </x:is>
      </x:c>
      <x:c r="O85" t="n">
        <x:v>1</x:v>
      </x:c>
      <x:c r="P85" t="n">
        <x:v>1</x:v>
      </x:c>
      <x:c r="Q85" t="n">
        <x:v>1</x:v>
      </x:c>
      <x:c r="R85" t="inlineStr">
        <x:is>
          <x:t xml:space="preserve">Low</x:t>
        </x:is>
      </x:c>
      <x:c r="S85" t="inlineStr">
        <x:is>
          <x:t xml:space="preserve">Privacy Office</x:t>
        </x:is>
      </x:c>
      <x:c r="T85" s="9" t="n">
        <x:v>46154</x:v>
      </x:c>
      <x:c r="U85" t="inlineStr">
        <x:is>
          <x:t xml:space="preserve">Closed</x:t>
        </x:is>
      </x:c>
      <x:c r="V85" t="inlineStr">
        <x:is>
          <x:t xml:space="preserve">No</x:t>
        </x:is>
      </x:c>
      <x:c r="W85" t="n">
        <x:v>11</x:v>
      </x:c>
      <x:c r="X85" t="inlineStr">
        <x:is>
          <x:t xml:space="preserve">Synthetic - CIE training only</x:t>
        </x:is>
      </x:c>
    </x:row>
    <x:row r="86">
      <x:c r="A86" t="inlineStr">
        <x:is>
          <x:t xml:space="preserve">LGL-26-0081</x:t>
        </x:is>
      </x:c>
      <x:c r="B86" s="9" t="n">
        <x:v>46164</x:v>
      </x:c>
      <x:c r="C86" t="inlineStr">
        <x:is>
          <x:t xml:space="preserve">Q2 2026</x:t>
        </x:is>
      </x:c>
      <x:c r="D86" t="inlineStr">
        <x:is>
          <x:t xml:space="preserve">Germany</x:t>
        </x:is>
      </x:c>
      <x:c r="E86" t="inlineStr">
        <x:is>
          <x:t xml:space="preserve">Europe</x:t>
        </x:is>
      </x:c>
      <x:c r="F86" t="inlineStr">
        <x:is>
          <x:t xml:space="preserve">Procurement</x:t>
        </x:is>
      </x:c>
      <x:c r="G86" t="inlineStr">
        <x:is>
          <x:t xml:space="preserve">SaaS / Cloud services</x:t>
        </x:is>
      </x:c>
      <x:c r="H86" t="inlineStr">
        <x:is>
          <x:t xml:space="preserve">AI/analytics vendor</x:t>
        </x:is>
      </x:c>
      <x:c r="I86" t="inlineStr">
        <x:is>
          <x:t xml:space="preserve">Brightfold Data Pte</x:t>
        </x:is>
      </x:c>
      <x:c r="J86" t="inlineStr">
        <x:is>
          <x:t xml:space="preserve">Audit rights</x:t>
        </x:is>
      </x:c>
      <x:c r="K86" t="inlineStr">
        <x:is>
          <x:t xml:space="preserve">Major</x:t>
        </x:is>
      </x:c>
      <x:c r="L86" t="inlineStr">
        <x:is>
          <x:t xml:space="preserve">Personal data - employee</x:t>
        </x:is>
      </x:c>
      <x:c r="M86" t="inlineStr">
        <x:is>
          <x:t xml:space="preserve">Automated decision support</x:t>
        </x:is>
      </x:c>
      <x:c r="N86" t="inlineStr">
        <x:is>
          <x:t xml:space="preserve">Emerging AI regulation - counsel to assess</x:t>
        </x:is>
      </x:c>
      <x:c r="O86" t="n">
        <x:v>2</x:v>
      </x:c>
      <x:c r="P86" t="n">
        <x:v>4</x:v>
      </x:c>
      <x:c r="Q86" t="n">
        <x:v>8</x:v>
      </x:c>
      <x:c r="R86" t="inlineStr">
        <x:is>
          <x:t xml:space="preserve">Medium</x:t>
        </x:is>
      </x:c>
      <x:c r="S86" t="inlineStr">
        <x:is>
          <x:t xml:space="preserve">Digital &amp; Data Legal</x:t>
        </x:is>
      </x:c>
      <x:c r="T86" s="9" t="n">
        <x:v>46183</x:v>
      </x:c>
      <x:c r="U86" t="inlineStr">
        <x:is>
          <x:t xml:space="preserve">Closed</x:t>
        </x:is>
      </x:c>
      <x:c r="V86" t="inlineStr">
        <x:is>
          <x:t xml:space="preserve">No</x:t>
        </x:is>
      </x:c>
      <x:c r="W86" t="n">
        <x:v>20</x:v>
      </x:c>
      <x:c r="X86" t="inlineStr">
        <x:is>
          <x:t xml:space="preserve">Synthetic - CIE training only</x:t>
        </x:is>
      </x:c>
    </x:row>
    <x:row r="87">
      <x:c r="A87" t="inlineStr">
        <x:is>
          <x:t xml:space="preserve">LGL-26-0082</x:t>
        </x:is>
      </x:c>
      <x:c r="B87" s="9" t="n">
        <x:v>46195</x:v>
      </x:c>
      <x:c r="C87" t="inlineStr">
        <x:is>
          <x:t xml:space="preserve">Q2 2026</x:t>
        </x:is>
      </x:c>
      <x:c r="D87" t="inlineStr">
        <x:is>
          <x:t xml:space="preserve">United Kingdom</x:t>
        </x:is>
      </x:c>
      <x:c r="E87" t="inlineStr">
        <x:is>
          <x:t xml:space="preserve">Europe</x:t>
        </x:is>
      </x:c>
      <x:c r="F87" t="inlineStr">
        <x:is>
          <x:t xml:space="preserve">HR</x:t>
        </x:is>
      </x:c>
      <x:c r="G87" t="inlineStr">
        <x:is>
          <x:t xml:space="preserve">SaaS / Cloud services</x:t>
        </x:is>
      </x:c>
      <x:c r="H87" t="inlineStr">
        <x:is>
          <x:t xml:space="preserve">AI/analytics vendor</x:t>
        </x:is>
      </x:c>
      <x:c r="I87" t="inlineStr">
        <x:is>
          <x:t xml:space="preserve">Northvale Insights SA</x:t>
        </x:is>
      </x:c>
      <x:c r="J87" t="inlineStr">
        <x:is>
          <x:t xml:space="preserve">Data use / model training</x:t>
        </x:is>
      </x:c>
      <x:c r="K87" t="inlineStr">
        <x:is>
          <x:t xml:space="preserve">Major</x:t>
        </x:is>
      </x:c>
      <x:c r="L87" t="inlineStr">
        <x:is>
          <x:t xml:space="preserve">Personal data - consumer (adult)</x:t>
        </x:is>
      </x:c>
      <x:c r="M87" t="inlineStr">
        <x:is>
          <x:t xml:space="preserve">Automated decision support</x:t>
        </x:is>
      </x:c>
      <x:c r="N87" t="inlineStr">
        <x:is>
          <x:t xml:space="preserve">Emerging AI regulation - counsel to assess</x:t>
        </x:is>
      </x:c>
      <x:c r="O87" t="n">
        <x:v>2</x:v>
      </x:c>
      <x:c r="P87" t="n">
        <x:v>4</x:v>
      </x:c>
      <x:c r="Q87" t="n">
        <x:v>8</x:v>
      </x:c>
      <x:c r="R87" t="inlineStr">
        <x:is>
          <x:t xml:space="preserve">Medium</x:t>
        </x:is>
      </x:c>
      <x:c r="S87" t="inlineStr">
        <x:is>
          <x:t xml:space="preserve">AI Governance Panel</x:t>
        </x:is>
      </x:c>
      <x:c r="T87" s="9" t="n">
        <x:v>46210</x:v>
      </x:c>
      <x:c r="U87" t="inlineStr">
        <x:is>
          <x:t xml:space="preserve">Closed</x:t>
        </x:is>
      </x:c>
      <x:c r="V87" t="inlineStr">
        <x:is>
          <x:t xml:space="preserve">No</x:t>
        </x:is>
      </x:c>
      <x:c r="W87" t="n">
        <x:v>32</x:v>
      </x:c>
      <x:c r="X87" t="inlineStr">
        <x:is>
          <x:t xml:space="preserve">Synthetic - CIE training only</x:t>
        </x:is>
      </x:c>
    </x:row>
    <x:row r="88">
      <x:c r="A88" t="inlineStr">
        <x:is>
          <x:t xml:space="preserve">LGL-26-0083</x:t>
        </x:is>
      </x:c>
      <x:c r="B88" s="9" t="n">
        <x:v>46139</x:v>
      </x:c>
      <x:c r="C88" t="inlineStr">
        <x:is>
          <x:t xml:space="preserve">Q2 2026</x:t>
        </x:is>
      </x:c>
      <x:c r="D88" t="inlineStr">
        <x:is>
          <x:t xml:space="preserve">Mexico</x:t>
        </x:is>
      </x:c>
      <x:c r="E88" t="inlineStr">
        <x:is>
          <x:t xml:space="preserve">Americas</x:t>
        </x:is>
      </x:c>
      <x:c r="F88" t="inlineStr">
        <x:is>
          <x:t xml:space="preserve">Corporate Affairs</x:t>
        </x:is>
      </x:c>
      <x:c r="G88" t="inlineStr">
        <x:is>
          <x:t xml:space="preserve">NDA</x:t>
        </x:is>
      </x:c>
      <x:c r="H88" t="inlineStr">
        <x:is>
          <x:t xml:space="preserve">Distributor</x:t>
        </x:is>
      </x:c>
      <x:c r="I88" t="inlineStr">
        <x:is>
          <x:t xml:space="preserve">Tidewater Logistics Co</x:t>
        </x:is>
      </x:c>
      <x:c r="J88" t="inlineStr">
        <x:is>
          <x:t xml:space="preserve">Termination</x:t>
        </x:is>
      </x:c>
      <x:c r="K88" t="inlineStr">
        <x:is>
          <x:t xml:space="preserve">Major</x:t>
        </x:is>
      </x:c>
      <x:c r="L88" t="inlineStr">
        <x:is>
          <x:t xml:space="preserve">None / public</x:t>
        </x:is>
      </x:c>
      <x:c r="M88" t="inlineStr">
        <x:is>
          <x:t xml:space="preserve">None</x:t>
        </x:is>
      </x:c>
      <x:c r="N88" t="inlineStr">
        <x:is>
          <x:t xml:space="preserve">Single market</x:t>
        </x:is>
      </x:c>
      <x:c r="O88" t="n">
        <x:v>2</x:v>
      </x:c>
      <x:c r="P88" t="n">
        <x:v>2</x:v>
      </x:c>
      <x:c r="Q88" t="n">
        <x:v>4</x:v>
      </x:c>
      <x:c r="R88" t="inlineStr">
        <x:is>
          <x:t xml:space="preserve">Low</x:t>
        </x:is>
      </x:c>
      <x:c r="S88" t="inlineStr">
        <x:is>
          <x:t xml:space="preserve">Commercial Legal</x:t>
        </x:is>
      </x:c>
      <x:c r="T88" s="9" t="n">
        <x:v>46161</x:v>
      </x:c>
      <x:c r="U88" t="inlineStr">
        <x:is>
          <x:t xml:space="preserve">Closed</x:t>
        </x:is>
      </x:c>
      <x:c r="V88" t="inlineStr">
        <x:is>
          <x:t xml:space="preserve">No</x:t>
        </x:is>
      </x:c>
      <x:c r="W88" t="n">
        <x:v>5</x:v>
      </x:c>
      <x:c r="X88" t="inlineStr">
        <x:is>
          <x:t xml:space="preserve">Synthetic - CIE training only</x:t>
        </x:is>
      </x:c>
    </x:row>
    <x:row r="89">
      <x:c r="A89" t="inlineStr">
        <x:is>
          <x:t xml:space="preserve">LGL-26-0084</x:t>
        </x:is>
      </x:c>
      <x:c r="B89" s="9" t="n">
        <x:v>46137</x:v>
      </x:c>
      <x:c r="C89" t="inlineStr">
        <x:is>
          <x:t xml:space="preserve">Q2 2026</x:t>
        </x:is>
      </x:c>
      <x:c r="D89" t="inlineStr">
        <x:is>
          <x:t xml:space="preserve">Kenya</x:t>
        </x:is>
      </x:c>
      <x:c r="E89" t="inlineStr">
        <x:is>
          <x:t xml:space="preserve">Middle East &amp; Africa</x:t>
        </x:is>
      </x:c>
      <x:c r="F89" t="inlineStr">
        <x:is>
          <x:t xml:space="preserve">Operations</x:t>
        </x:is>
      </x:c>
      <x:c r="G89" t="inlineStr">
        <x:is>
          <x:t xml:space="preserve">Marketing agency agreement</x:t>
        </x:is>
      </x:c>
      <x:c r="H89" t="inlineStr">
        <x:is>
          <x:t xml:space="preserve">Agency</x:t>
        </x:is>
      </x:c>
      <x:c r="I89" t="inlineStr">
        <x:is>
          <x:t xml:space="preserve">Lantern &amp; Reed Agency</x:t>
        </x:is>
      </x:c>
      <x:c r="J89" t="inlineStr">
        <x:is>
          <x:t xml:space="preserve">AI transparency</x:t>
        </x:is>
      </x:c>
      <x:c r="K89" t="inlineStr">
        <x:is>
          <x:t xml:space="preserve">Major</x:t>
        </x:is>
      </x:c>
      <x:c r="L89" t="inlineStr">
        <x:is>
          <x:t xml:space="preserve">Business confidential</x:t>
        </x:is>
      </x:c>
      <x:c r="M89" t="inlineStr">
        <x:is>
          <x:t xml:space="preserve">Generative AI output</x:t>
        </x:is>
      </x:c>
      <x:c r="N89" t="inlineStr">
        <x:is>
          <x:t xml:space="preserve">Emerging AI regulation - counsel to assess</x:t>
        </x:is>
      </x:c>
      <x:c r="O89" t="n">
        <x:v>3</x:v>
      </x:c>
      <x:c r="P89" t="n">
        <x:v>1</x:v>
      </x:c>
      <x:c r="Q89" t="n">
        <x:v>3</x:v>
      </x:c>
      <x:c r="R89" t="inlineStr">
        <x:is>
          <x:t xml:space="preserve">Low</x:t>
        </x:is>
      </x:c>
      <x:c r="S89" t="inlineStr">
        <x:is>
          <x:t xml:space="preserve">AI Governance Panel</x:t>
        </x:is>
      </x:c>
      <x:c r="T89" s="9" t="n">
        <x:v>46157</x:v>
      </x:c>
      <x:c r="U89" t="inlineStr">
        <x:is>
          <x:t xml:space="preserve">Closed</x:t>
        </x:is>
      </x:c>
      <x:c r="V89" t="inlineStr">
        <x:is>
          <x:t xml:space="preserve">No</x:t>
        </x:is>
      </x:c>
      <x:c r="W89" t="n">
        <x:v>27</x:v>
      </x:c>
      <x:c r="X89" t="inlineStr">
        <x:is>
          <x:t xml:space="preserve">Synthetic - CIE training only</x:t>
        </x:is>
      </x:c>
    </x:row>
    <x:row r="90">
      <x:c r="A90" t="inlineStr">
        <x:is>
          <x:t xml:space="preserve">LGL-26-0085</x:t>
        </x:is>
      </x:c>
      <x:c r="B90" s="9" t="n">
        <x:v>46159</x:v>
      </x:c>
      <x:c r="C90" t="inlineStr">
        <x:is>
          <x:t xml:space="preserve">Q2 2026</x:t>
        </x:is>
      </x:c>
      <x:c r="D90" t="inlineStr">
        <x:is>
          <x:t xml:space="preserve">Romania</x:t>
        </x:is>
      </x:c>
      <x:c r="E90" t="inlineStr">
        <x:is>
          <x:t xml:space="preserve">Europe</x:t>
        </x:is>
      </x:c>
      <x:c r="F90" t="inlineStr">
        <x:is>
          <x:t xml:space="preserve">Corporate Affairs</x:t>
        </x:is>
      </x:c>
      <x:c r="G90" t="inlineStr">
        <x:is>
          <x:t xml:space="preserve">Software licence</x:t>
        </x:is>
      </x:c>
      <x:c r="H90" t="inlineStr">
        <x:is>
          <x:t xml:space="preserve">Technology vendor</x:t>
        </x:is>
      </x:c>
      <x:c r="I90" t="inlineStr">
        <x:is>
          <x:t xml:space="preserve">Pinemark Software Ltd</x:t>
        </x:is>
      </x:c>
      <x:c r="J90" t="inlineStr">
        <x:is>
          <x:t xml:space="preserve">Audit rights</x:t>
        </x:is>
      </x:c>
      <x:c r="K90" t="inlineStr">
        <x:is>
          <x:t xml:space="preserve">Minor</x:t>
        </x:is>
      </x:c>
      <x:c r="L90" t="inlineStr">
        <x:is>
          <x:t xml:space="preserve">None / public</x:t>
        </x:is>
      </x:c>
      <x:c r="M90" t="inlineStr">
        <x:is>
          <x:t xml:space="preserve">None</x:t>
        </x:is>
      </x:c>
      <x:c r="N90" t="inlineStr">
        <x:is>
          <x:t xml:space="preserve">Single market</x:t>
        </x:is>
      </x:c>
      <x:c r="O90" t="n">
        <x:v>1</x:v>
      </x:c>
      <x:c r="P90" t="n">
        <x:v>2</x:v>
      </x:c>
      <x:c r="Q90" t="n">
        <x:v>2</x:v>
      </x:c>
      <x:c r="R90" t="inlineStr">
        <x:is>
          <x:t xml:space="preserve">Low</x:t>
        </x:is>
      </x:c>
      <x:c r="S90" t="inlineStr">
        <x:is>
          <x:t xml:space="preserve">Digital &amp; Data Legal</x:t>
        </x:is>
      </x:c>
      <x:c r="T90" s="9" t="n">
        <x:v>46180</x:v>
      </x:c>
      <x:c r="U90" t="inlineStr">
        <x:is>
          <x:t xml:space="preserve">Closed</x:t>
        </x:is>
      </x:c>
      <x:c r="V90" t="inlineStr">
        <x:is>
          <x:t xml:space="preserve">No</x:t>
        </x:is>
      </x:c>
      <x:c r="W90" t="n">
        <x:v>19</x:v>
      </x:c>
      <x:c r="X90" t="inlineStr">
        <x:is>
          <x:t xml:space="preserve">Synthetic - CIE training only</x:t>
        </x:is>
      </x:c>
    </x:row>
    <x:row r="91">
      <x:c r="A91" t="inlineStr">
        <x:is>
          <x:t xml:space="preserve">LGL-26-0086</x:t>
        </x:is>
      </x:c>
      <x:c r="B91" s="9" t="n">
        <x:v>46140</x:v>
      </x:c>
      <x:c r="C91" t="inlineStr">
        <x:is>
          <x:t xml:space="preserve">Q2 2026</x:t>
        </x:is>
      </x:c>
      <x:c r="D91" t="inlineStr">
        <x:is>
          <x:t xml:space="preserve">Mexico</x:t>
        </x:is>
      </x:c>
      <x:c r="E91" t="inlineStr">
        <x:is>
          <x:t xml:space="preserve">Americas</x:t>
        </x:is>
      </x:c>
      <x:c r="F91" t="inlineStr">
        <x:is>
          <x:t xml:space="preserve">Procurement</x:t>
        </x:is>
      </x:c>
      <x:c r="G91" t="inlineStr">
        <x:is>
          <x:t xml:space="preserve">SaaS / Cloud services</x:t>
        </x:is>
      </x:c>
      <x:c r="H91" t="inlineStr">
        <x:is>
          <x:t xml:space="preserve">AI/analytics vendor</x:t>
        </x:is>
      </x:c>
      <x:c r="I91" t="inlineStr">
        <x:is>
          <x:t xml:space="preserve">Lumora Analytics Ltd</x:t>
        </x:is>
      </x:c>
      <x:c r="J91" t="inlineStr">
        <x:is>
          <x:t xml:space="preserve">Limitation of liability</x:t>
        </x:is>
      </x:c>
      <x:c r="K91" t="inlineStr">
        <x:is>
          <x:t xml:space="preserve">None</x:t>
        </x:is>
      </x:c>
      <x:c r="L91" t="inlineStr">
        <x:is>
          <x:t xml:space="preserve">Business confidential</x:t>
        </x:is>
      </x:c>
      <x:c r="M91" t="inlineStr">
        <x:is>
          <x:t xml:space="preserve">AI-enabled feature</x:t>
        </x:is>
      </x:c>
      <x:c r="N91" t="inlineStr">
        <x:is>
          <x:t xml:space="preserve">Emerging AI regulation - counsel to assess</x:t>
        </x:is>
      </x:c>
      <x:c r="O91" t="n">
        <x:v>1</x:v>
      </x:c>
      <x:c r="P91" t="n">
        <x:v>2</x:v>
      </x:c>
      <x:c r="Q91" t="n">
        <x:v>2</x:v>
      </x:c>
      <x:c r="R91" t="inlineStr">
        <x:is>
          <x:t xml:space="preserve">Low</x:t>
        </x:is>
      </x:c>
      <x:c r="S91" t="inlineStr">
        <x:is>
          <x:t xml:space="preserve">Commercial Legal</x:t>
        </x:is>
      </x:c>
      <x:c r="T91" s="9" t="n">
        <x:v>46165</x:v>
      </x:c>
      <x:c r="U91" t="inlineStr">
        <x:is>
          <x:t xml:space="preserve">Closed</x:t>
        </x:is>
      </x:c>
      <x:c r="V91" t="inlineStr">
        <x:is>
          <x:t xml:space="preserve">No</x:t>
        </x:is>
      </x:c>
      <x:c r="W91" t="n">
        <x:v>25</x:v>
      </x:c>
      <x:c r="X91" t="inlineStr">
        <x:is>
          <x:t xml:space="preserve">Synthetic - CIE training only</x:t>
        </x:is>
      </x:c>
    </x:row>
    <x:row r="92">
      <x:c r="A92" t="inlineStr">
        <x:is>
          <x:t xml:space="preserve">LGL-26-0087</x:t>
        </x:is>
      </x:c>
      <x:c r="B92" s="9" t="n">
        <x:v>46163</x:v>
      </x:c>
      <x:c r="C92" t="inlineStr">
        <x:is>
          <x:t xml:space="preserve">Q2 2026</x:t>
        </x:is>
      </x:c>
      <x:c r="D92" t="inlineStr">
        <x:is>
          <x:t xml:space="preserve">Romania</x:t>
        </x:is>
      </x:c>
      <x:c r="E92" t="inlineStr">
        <x:is>
          <x:t xml:space="preserve">Europe</x:t>
        </x:is>
      </x:c>
      <x:c r="F92" t="inlineStr">
        <x:is>
          <x:t xml:space="preserve">Marketing</x:t>
        </x:is>
      </x:c>
      <x:c r="G92" t="inlineStr">
        <x:is>
          <x:t xml:space="preserve">Software licence</x:t>
        </x:is>
      </x:c>
      <x:c r="H92" t="inlineStr">
        <x:is>
          <x:t xml:space="preserve">Technology vendor</x:t>
        </x:is>
      </x:c>
      <x:c r="I92" t="inlineStr">
        <x:is>
          <x:t xml:space="preserve">Tessaro Systems BV</x:t>
        </x:is>
      </x:c>
      <x:c r="J92" t="inlineStr">
        <x:is>
          <x:t xml:space="preserve">Confidentiality</x:t>
        </x:is>
      </x:c>
      <x:c r="K92" t="inlineStr">
        <x:is>
          <x:t xml:space="preserve">Minor</x:t>
        </x:is>
      </x:c>
      <x:c r="L92" t="inlineStr">
        <x:is>
          <x:t xml:space="preserve">Business confidential</x:t>
        </x:is>
      </x:c>
      <x:c r="M92" t="inlineStr">
        <x:is>
          <x:t xml:space="preserve">None</x:t>
        </x:is>
      </x:c>
      <x:c r="N92" t="inlineStr">
        <x:is>
          <x:t xml:space="preserve">Single market</x:t>
        </x:is>
      </x:c>
      <x:c r="O92" t="n">
        <x:v>3</x:v>
      </x:c>
      <x:c r="P92" t="n">
        <x:v>2</x:v>
      </x:c>
      <x:c r="Q92" t="n">
        <x:v>6</x:v>
      </x:c>
      <x:c r="R92" t="inlineStr">
        <x:is>
          <x:t xml:space="preserve">Medium</x:t>
        </x:is>
      </x:c>
      <x:c r="S92" t="inlineStr">
        <x:is>
          <x:t xml:space="preserve">Commercial Legal</x:t>
        </x:is>
      </x:c>
      <x:c r="T92" s="9" t="n">
        <x:v>46178</x:v>
      </x:c>
      <x:c r="U92" t="inlineStr">
        <x:is>
          <x:t xml:space="preserve">Closed</x:t>
        </x:is>
      </x:c>
      <x:c r="V92" t="inlineStr">
        <x:is>
          <x:t xml:space="preserve">No</x:t>
        </x:is>
      </x:c>
      <x:c r="W92" t="n">
        <x:v>11</x:v>
      </x:c>
      <x:c r="X92" t="inlineStr">
        <x:is>
          <x:t xml:space="preserve">Synthetic - CIE training only</x:t>
        </x:is>
      </x:c>
    </x:row>
    <x:row r="93">
      <x:c r="A93" t="inlineStr">
        <x:is>
          <x:t xml:space="preserve">LGL-26-0088</x:t>
        </x:is>
      </x:c>
      <x:c r="B93" s="9" t="n">
        <x:v>46116</x:v>
      </x:c>
      <x:c r="C93" t="inlineStr">
        <x:is>
          <x:t xml:space="preserve">Q2 2026</x:t>
        </x:is>
      </x:c>
      <x:c r="D93" t="inlineStr">
        <x:is>
          <x:t xml:space="preserve">Germany</x:t>
        </x:is>
      </x:c>
      <x:c r="E93" t="inlineStr">
        <x:is>
          <x:t xml:space="preserve">Europe</x:t>
        </x:is>
      </x:c>
      <x:c r="F93" t="inlineStr">
        <x:is>
          <x:t xml:space="preserve">Finance</x:t>
        </x:is>
      </x:c>
      <x:c r="G93" t="inlineStr">
        <x:is>
          <x:t xml:space="preserve">Data sharing agreement</x:t>
        </x:is>
      </x:c>
      <x:c r="H93" t="inlineStr">
        <x:is>
          <x:t xml:space="preserve">AI/analytics vendor</x:t>
        </x:is>
      </x:c>
      <x:c r="I93" t="inlineStr">
        <x:is>
          <x:t xml:space="preserve">Lumora Analytics Ltd</x:t>
        </x:is>
      </x:c>
      <x:c r="J93" t="inlineStr">
        <x:is>
          <x:t xml:space="preserve">Sub-processors</x:t>
        </x:is>
      </x:c>
      <x:c r="K93" t="inlineStr">
        <x:is>
          <x:t xml:space="preserve">Minor</x:t>
        </x:is>
      </x:c>
      <x:c r="L93" t="inlineStr">
        <x:is>
          <x:t xml:space="preserve">Personal data - consumer (adult)</x:t>
        </x:is>
      </x:c>
      <x:c r="M93" t="inlineStr">
        <x:is>
          <x:t xml:space="preserve">AI-enabled feature</x:t>
        </x:is>
      </x:c>
      <x:c r="N93" t="inlineStr">
        <x:is>
          <x:t xml:space="preserve">Emerging AI regulation - counsel to assess</x:t>
        </x:is>
      </x:c>
      <x:c r="O93" t="n">
        <x:v>1</x:v>
      </x:c>
      <x:c r="P93" t="n">
        <x:v>4</x:v>
      </x:c>
      <x:c r="Q93" t="n">
        <x:v>4</x:v>
      </x:c>
      <x:c r="R93" t="inlineStr">
        <x:is>
          <x:t xml:space="preserve">Low</x:t>
        </x:is>
      </x:c>
      <x:c r="S93" t="inlineStr">
        <x:is>
          <x:t xml:space="preserve">Privacy Office</x:t>
        </x:is>
      </x:c>
      <x:c r="T93" s="9" t="n">
        <x:v>46137</x:v>
      </x:c>
      <x:c r="U93" t="inlineStr">
        <x:is>
          <x:t xml:space="preserve">Closed</x:t>
        </x:is>
      </x:c>
      <x:c r="V93" t="inlineStr">
        <x:is>
          <x:t xml:space="preserve">No</x:t>
        </x:is>
      </x:c>
      <x:c r="W93" t="n">
        <x:v>29</x:v>
      </x:c>
      <x:c r="X93" t="inlineStr">
        <x:is>
          <x:t xml:space="preserve">Synthetic - CIE training only</x:t>
        </x:is>
      </x:c>
    </x:row>
    <x:row r="94">
      <x:c r="A94" t="inlineStr">
        <x:is>
          <x:t xml:space="preserve">LGL-26-0089</x:t>
        </x:is>
      </x:c>
      <x:c r="B94" s="9" t="n">
        <x:v>46139</x:v>
      </x:c>
      <x:c r="C94" t="inlineStr">
        <x:is>
          <x:t xml:space="preserve">Q2 2026</x:t>
        </x:is>
      </x:c>
      <x:c r="D94" t="inlineStr">
        <x:is>
          <x:t xml:space="preserve">Japan</x:t>
        </x:is>
      </x:c>
      <x:c r="E94" t="inlineStr">
        <x:is>
          <x:t xml:space="preserve">Asia-Pacific</x:t>
        </x:is>
      </x:c>
      <x:c r="F94" t="inlineStr">
        <x:is>
          <x:t xml:space="preserve">Marketing</x:t>
        </x:is>
      </x:c>
      <x:c r="G94" t="inlineStr">
        <x:is>
          <x:t xml:space="preserve">NDA</x:t>
        </x:is>
      </x:c>
      <x:c r="H94" t="inlineStr">
        <x:is>
          <x:t xml:space="preserve">Consultancy</x:t>
        </x:is>
      </x:c>
      <x:c r="I94" t="inlineStr">
        <x:is>
          <x:t xml:space="preserve">Meridian Ridge Advisory</x:t>
        </x:is>
      </x:c>
      <x:c r="J94" t="inlineStr">
        <x:is>
          <x:t xml:space="preserve">IP in outputs</x:t>
        </x:is>
      </x:c>
      <x:c r="K94" t="inlineStr">
        <x:is>
          <x:t xml:space="preserve">None</x:t>
        </x:is>
      </x:c>
      <x:c r="L94" t="inlineStr">
        <x:is>
          <x:t xml:space="preserve">None / public</x:t>
        </x:is>
      </x:c>
      <x:c r="M94" t="inlineStr">
        <x:is>
          <x:t xml:space="preserve">None</x:t>
        </x:is>
      </x:c>
      <x:c r="N94" t="inlineStr">
        <x:is>
          <x:t xml:space="preserve">Single market</x:t>
        </x:is>
      </x:c>
      <x:c r="O94" t="n">
        <x:v>1</x:v>
      </x:c>
      <x:c r="P94" t="n">
        <x:v>2</x:v>
      </x:c>
      <x:c r="Q94" t="n">
        <x:v>2</x:v>
      </x:c>
      <x:c r="R94" t="inlineStr">
        <x:is>
          <x:t xml:space="preserve">Low</x:t>
        </x:is>
      </x:c>
      <x:c r="S94" t="inlineStr">
        <x:is>
          <x:t xml:space="preserve">Digital &amp; Data Legal</x:t>
        </x:is>
      </x:c>
      <x:c r="T94" s="9" t="n">
        <x:v>46164</x:v>
      </x:c>
      <x:c r="U94" t="inlineStr">
        <x:is>
          <x:t xml:space="preserve">Closed</x:t>
        </x:is>
      </x:c>
      <x:c r="V94" t="inlineStr">
        <x:is>
          <x:t xml:space="preserve">No</x:t>
        </x:is>
      </x:c>
      <x:c r="W94" t="n">
        <x:v>10</x:v>
      </x:c>
      <x:c r="X94" t="inlineStr">
        <x:is>
          <x:t xml:space="preserve">Synthetic - CIE training only</x:t>
        </x:is>
      </x:c>
    </x:row>
    <x:row r="95">
      <x:c r="A95" t="inlineStr">
        <x:is>
          <x:t xml:space="preserve">LGL-26-0090</x:t>
        </x:is>
      </x:c>
      <x:c r="B95" s="9" t="n">
        <x:v>46175</x:v>
      </x:c>
      <x:c r="C95" t="inlineStr">
        <x:is>
          <x:t xml:space="preserve">Q2 2026</x:t>
        </x:is>
      </x:c>
      <x:c r="D95" t="inlineStr">
        <x:is>
          <x:t xml:space="preserve">Brazil</x:t>
        </x:is>
      </x:c>
      <x:c r="E95" t="inlineStr">
        <x:is>
          <x:t xml:space="preserve">Americas</x:t>
        </x:is>
      </x:c>
      <x:c r="F95" t="inlineStr">
        <x:is>
          <x:t xml:space="preserve">Corporate Affairs</x:t>
        </x:is>
      </x:c>
      <x:c r="G95" t="inlineStr">
        <x:is>
          <x:t xml:space="preserve">NDA</x:t>
        </x:is>
      </x:c>
      <x:c r="H95" t="inlineStr">
        <x:is>
          <x:t xml:space="preserve">Consultancy</x:t>
        </x:is>
      </x:c>
      <x:c r="I95" t="inlineStr">
        <x:is>
          <x:t xml:space="preserve">Oakhurst Consulting LLP</x:t>
        </x:is>
      </x:c>
      <x:c r="J95" t="inlineStr">
        <x:is>
          <x:t xml:space="preserve">Limitation of liability</x:t>
        </x:is>
      </x:c>
      <x:c r="K95" t="inlineStr">
        <x:is>
          <x:t xml:space="preserve">Minor</x:t>
        </x:is>
      </x:c>
      <x:c r="L95" t="inlineStr">
        <x:is>
          <x:t xml:space="preserve">Business confidential</x:t>
        </x:is>
      </x:c>
      <x:c r="M95" t="inlineStr">
        <x:is>
          <x:t xml:space="preserve">None</x:t>
        </x:is>
      </x:c>
      <x:c r="N95" t="inlineStr">
        <x:is>
          <x:t xml:space="preserve">Single market</x:t>
        </x:is>
      </x:c>
      <x:c r="O95" t="n">
        <x:v>2</x:v>
      </x:c>
      <x:c r="P95" t="n">
        <x:v>2</x:v>
      </x:c>
      <x:c r="Q95" t="n">
        <x:v>4</x:v>
      </x:c>
      <x:c r="R95" t="inlineStr">
        <x:is>
          <x:t xml:space="preserve">Low</x:t>
        </x:is>
      </x:c>
      <x:c r="S95" t="inlineStr">
        <x:is>
          <x:t xml:space="preserve">Commercial Legal</x:t>
        </x:is>
      </x:c>
      <x:c r="T95" s="9" t="n">
        <x:v>46197</x:v>
      </x:c>
      <x:c r="U95" t="inlineStr">
        <x:is>
          <x:t xml:space="preserve">Closed</x:t>
        </x:is>
      </x:c>
      <x:c r="V95" t="inlineStr">
        <x:is>
          <x:t xml:space="preserve">No</x:t>
        </x:is>
      </x:c>
      <x:c r="W95" t="n">
        <x:v>8</x:v>
      </x:c>
      <x:c r="X95" t="inlineStr">
        <x:is>
          <x:t xml:space="preserve">Synthetic - CIE training only</x:t>
        </x:is>
      </x:c>
    </x:row>
    <x:row r="96">
      <x:c r="A96" t="inlineStr">
        <x:is>
          <x:t xml:space="preserve">LGL-26-0091</x:t>
        </x:is>
      </x:c>
      <x:c r="B96" s="9" t="n">
        <x:v>46180</x:v>
      </x:c>
      <x:c r="C96" t="inlineStr">
        <x:is>
          <x:t xml:space="preserve">Q2 2026</x:t>
        </x:is>
      </x:c>
      <x:c r="D96" t="inlineStr">
        <x:is>
          <x:t xml:space="preserve">Mexico</x:t>
        </x:is>
      </x:c>
      <x:c r="E96" t="inlineStr">
        <x:is>
          <x:t xml:space="preserve">Americas</x:t>
        </x:is>
      </x:c>
      <x:c r="F96" t="inlineStr">
        <x:is>
          <x:t xml:space="preserve">HR</x:t>
        </x:is>
      </x:c>
      <x:c r="G96" t="inlineStr">
        <x:is>
          <x:t xml:space="preserve">Software licence</x:t>
        </x:is>
      </x:c>
      <x:c r="H96" t="inlineStr">
        <x:is>
          <x:t xml:space="preserve">Technology vendor</x:t>
        </x:is>
      </x:c>
      <x:c r="I96" t="inlineStr">
        <x:is>
          <x:t xml:space="preserve">Halcyon Workflow Inc</x:t>
        </x:is>
      </x:c>
      <x:c r="J96" t="inlineStr">
        <x:is>
          <x:t xml:space="preserve">Confidentiality</x:t>
        </x:is>
      </x:c>
      <x:c r="K96" t="inlineStr">
        <x:is>
          <x:t xml:space="preserve">None</x:t>
        </x:is>
      </x:c>
      <x:c r="L96" t="inlineStr">
        <x:is>
          <x:t xml:space="preserve">Business confidential</x:t>
        </x:is>
      </x:c>
      <x:c r="M96" t="inlineStr">
        <x:is>
          <x:t xml:space="preserve">None</x:t>
        </x:is>
      </x:c>
      <x:c r="N96" t="inlineStr">
        <x:is>
          <x:t xml:space="preserve">Single market</x:t>
        </x:is>
      </x:c>
      <x:c r="O96" t="n">
        <x:v>1</x:v>
      </x:c>
      <x:c r="P96" t="n">
        <x:v>2</x:v>
      </x:c>
      <x:c r="Q96" t="n">
        <x:v>2</x:v>
      </x:c>
      <x:c r="R96" t="inlineStr">
        <x:is>
          <x:t xml:space="preserve">Low</x:t>
        </x:is>
      </x:c>
      <x:c r="S96" t="inlineStr">
        <x:is>
          <x:t xml:space="preserve">Commercial Legal</x:t>
        </x:is>
      </x:c>
      <x:c r="T96" s="9" t="n">
        <x:v>46202</x:v>
      </x:c>
      <x:c r="U96" t="inlineStr">
        <x:is>
          <x:t xml:space="preserve">Closed</x:t>
        </x:is>
      </x:c>
      <x:c r="V96" t="inlineStr">
        <x:is>
          <x:t xml:space="preserve">No</x:t>
        </x:is>
      </x:c>
      <x:c r="W96" t="n">
        <x:v>11</x:v>
      </x:c>
      <x:c r="X96" t="inlineStr">
        <x:is>
          <x:t xml:space="preserve">Synthetic - CIE training only</x:t>
        </x:is>
      </x:c>
    </x:row>
    <x:row r="97">
      <x:c r="A97" t="inlineStr">
        <x:is>
          <x:t xml:space="preserve">LGL-26-0092</x:t>
        </x:is>
      </x:c>
      <x:c r="B97" s="9" t="n">
        <x:v>46157</x:v>
      </x:c>
      <x:c r="C97" t="inlineStr">
        <x:is>
          <x:t xml:space="preserve">Q2 2026</x:t>
        </x:is>
      </x:c>
      <x:c r="D97" t="inlineStr">
        <x:is>
          <x:t xml:space="preserve">Kenya</x:t>
        </x:is>
      </x:c>
      <x:c r="E97" t="inlineStr">
        <x:is>
          <x:t xml:space="preserve">Middle East &amp; Africa</x:t>
        </x:is>
      </x:c>
      <x:c r="F97" t="inlineStr">
        <x:is>
          <x:t xml:space="preserve">Corporate Affairs</x:t>
        </x:is>
      </x:c>
      <x:c r="G97" t="inlineStr">
        <x:is>
          <x:t xml:space="preserve">AI use request (internal)</x:t>
        </x:is>
      </x:c>
      <x:c r="H97" t="inlineStr">
        <x:is>
          <x:t xml:space="preserve">Internal (no counterparty)</x:t>
        </x:is>
      </x:c>
      <x:c r="I97" t="inlineStr">
        <x:is>
          <x:t xml:space="preserve">Internal request</x:t>
        </x:is>
      </x:c>
      <x:c r="J97" t="inlineStr">
        <x:is>
          <x:t xml:space="preserve">Data use / model training</x:t>
        </x:is>
      </x:c>
      <x:c r="K97" t="inlineStr">
        <x:is>
          <x:t xml:space="preserve">Minor</x:t>
        </x:is>
      </x:c>
      <x:c r="L97" t="inlineStr">
        <x:is>
          <x:t xml:space="preserve">None / public</x:t>
        </x:is>
      </x:c>
      <x:c r="M97" t="inlineStr">
        <x:is>
          <x:t xml:space="preserve">Generative AI output</x:t>
        </x:is>
      </x:c>
      <x:c r="N97" t="inlineStr">
        <x:is>
          <x:t xml:space="preserve">Emerging AI regulation - counsel to assess</x:t>
        </x:is>
      </x:c>
      <x:c r="O97" t="n">
        <x:v>2</x:v>
      </x:c>
      <x:c r="P97" t="n">
        <x:v>1</x:v>
      </x:c>
      <x:c r="Q97" t="n">
        <x:v>2</x:v>
      </x:c>
      <x:c r="R97" t="inlineStr">
        <x:is>
          <x:t xml:space="preserve">Low</x:t>
        </x:is>
      </x:c>
      <x:c r="S97" t="inlineStr">
        <x:is>
          <x:t xml:space="preserve">AI Governance Panel</x:t>
        </x:is>
      </x:c>
      <x:c r="T97" s="9" t="n">
        <x:v>46313</x:v>
      </x:c>
      <x:c r="U97" t="inlineStr">
        <x:is>
          <x:t xml:space="preserve">In review</x:t>
        </x:is>
      </x:c>
      <x:c r="V97" t="inlineStr">
        <x:is>
          <x:t xml:space="preserve">No</x:t>
        </x:is>
      </x:c>
      <x:c r="W97" t="n">
        <x:v>154</x:v>
      </x:c>
      <x:c r="X97" t="inlineStr">
        <x:is>
          <x:t xml:space="preserve">Synthetic - CIE training only</x:t>
        </x:is>
      </x:c>
    </x:row>
    <x:row r="98">
      <x:c r="A98" t="inlineStr">
        <x:is>
          <x:t xml:space="preserve">LGL-26-0093</x:t>
        </x:is>
      </x:c>
      <x:c r="B98" s="9" t="n">
        <x:v>46113</x:v>
      </x:c>
      <x:c r="C98" t="inlineStr">
        <x:is>
          <x:t xml:space="preserve">Q2 2026</x:t>
        </x:is>
      </x:c>
      <x:c r="D98" t="inlineStr">
        <x:is>
          <x:t xml:space="preserve">Brazil</x:t>
        </x:is>
      </x:c>
      <x:c r="E98" t="inlineStr">
        <x:is>
          <x:t xml:space="preserve">Americas</x:t>
        </x:is>
      </x:c>
      <x:c r="F98" t="inlineStr">
        <x:is>
          <x:t xml:space="preserve">Digital &amp; IT</x:t>
        </x:is>
      </x:c>
      <x:c r="G98" t="inlineStr">
        <x:is>
          <x:t xml:space="preserve">AI use request (internal)</x:t>
        </x:is>
      </x:c>
      <x:c r="H98" t="inlineStr">
        <x:is>
          <x:t xml:space="preserve">AI/analytics vendor</x:t>
        </x:is>
      </x:c>
      <x:c r="I98" t="inlineStr">
        <x:is>
          <x:t xml:space="preserve">Lumora Analytics Ltd</x:t>
        </x:is>
      </x:c>
      <x:c r="J98" t="inlineStr">
        <x:is>
          <x:t xml:space="preserve">Sub-processors</x:t>
        </x:is>
      </x:c>
      <x:c r="K98" t="inlineStr">
        <x:is>
          <x:t xml:space="preserve">Major</x:t>
        </x:is>
      </x:c>
      <x:c r="L98" t="inlineStr">
        <x:is>
          <x:t xml:space="preserve">Business confidential</x:t>
        </x:is>
      </x:c>
      <x:c r="M98" t="inlineStr">
        <x:is>
          <x:t xml:space="preserve">AI-enabled feature</x:t>
        </x:is>
      </x:c>
      <x:c r="N98" t="inlineStr">
        <x:is>
          <x:t xml:space="preserve">Single market</x:t>
        </x:is>
      </x:c>
      <x:c r="O98" t="n">
        <x:v>2</x:v>
      </x:c>
      <x:c r="P98" t="n">
        <x:v>3</x:v>
      </x:c>
      <x:c r="Q98" t="n">
        <x:v>6</x:v>
      </x:c>
      <x:c r="R98" t="inlineStr">
        <x:is>
          <x:t xml:space="preserve">Medium</x:t>
        </x:is>
      </x:c>
      <x:c r="S98" t="inlineStr">
        <x:is>
          <x:t xml:space="preserve">Privacy Office</x:t>
        </x:is>
      </x:c>
      <x:c r="T98" s="9" t="n">
        <x:v>46133</x:v>
      </x:c>
      <x:c r="U98" t="inlineStr">
        <x:is>
          <x:t xml:space="preserve">Closed</x:t>
        </x:is>
      </x:c>
      <x:c r="V98" t="inlineStr">
        <x:is>
          <x:t xml:space="preserve">No</x:t>
        </x:is>
      </x:c>
      <x:c r="W98" t="n">
        <x:v>14</x:v>
      </x:c>
      <x:c r="X98" t="inlineStr">
        <x:is>
          <x:t xml:space="preserve">Synthetic - CIE training only</x:t>
        </x:is>
      </x:c>
    </x:row>
    <x:row r="99">
      <x:c r="A99" t="inlineStr">
        <x:is>
          <x:t xml:space="preserve">LGL-26-0094</x:t>
        </x:is>
      </x:c>
      <x:c r="B99" s="9" t="n">
        <x:v>46113</x:v>
      </x:c>
      <x:c r="C99" t="inlineStr">
        <x:is>
          <x:t xml:space="preserve">Q2 2026</x:t>
        </x:is>
      </x:c>
      <x:c r="D99" t="inlineStr">
        <x:is>
          <x:t xml:space="preserve">Mexico</x:t>
        </x:is>
      </x:c>
      <x:c r="E99" t="inlineStr">
        <x:is>
          <x:t xml:space="preserve">Americas</x:t>
        </x:is>
      </x:c>
      <x:c r="F99" t="inlineStr">
        <x:is>
          <x:t xml:space="preserve">Operations</x:t>
        </x:is>
      </x:c>
      <x:c r="G99" t="inlineStr">
        <x:is>
          <x:t xml:space="preserve">Software licence</x:t>
        </x:is>
      </x:c>
      <x:c r="H99" t="inlineStr">
        <x:is>
          <x:t xml:space="preserve">Technology vendor</x:t>
        </x:is>
      </x:c>
      <x:c r="I99" t="inlineStr">
        <x:is>
          <x:t xml:space="preserve">Halcyon Workflow Inc</x:t>
        </x:is>
      </x:c>
      <x:c r="J99" t="inlineStr">
        <x:is>
          <x:t xml:space="preserve">Governing law</x:t>
        </x:is>
      </x:c>
      <x:c r="K99" t="inlineStr">
        <x:is>
          <x:t xml:space="preserve">Minor</x:t>
        </x:is>
      </x:c>
      <x:c r="L99" t="inlineStr">
        <x:is>
          <x:t xml:space="preserve">Business confidential</x:t>
        </x:is>
      </x:c>
      <x:c r="M99" t="inlineStr">
        <x:is>
          <x:t xml:space="preserve">None</x:t>
        </x:is>
      </x:c>
      <x:c r="N99" t="inlineStr">
        <x:is>
          <x:t xml:space="preserve">Single market</x:t>
        </x:is>
      </x:c>
      <x:c r="O99" t="n">
        <x:v>2</x:v>
      </x:c>
      <x:c r="P99" t="n">
        <x:v>3</x:v>
      </x:c>
      <x:c r="Q99" t="n">
        <x:v>6</x:v>
      </x:c>
      <x:c r="R99" t="inlineStr">
        <x:is>
          <x:t xml:space="preserve">Medium</x:t>
        </x:is>
      </x:c>
      <x:c r="S99" t="inlineStr">
        <x:is>
          <x:t xml:space="preserve">Market Counsel</x:t>
        </x:is>
      </x:c>
      <x:c r="T99" s="9" t="n">
        <x:v>46129</x:v>
      </x:c>
      <x:c r="U99" t="inlineStr">
        <x:is>
          <x:t xml:space="preserve">Closed</x:t>
        </x:is>
      </x:c>
      <x:c r="V99" t="inlineStr">
        <x:is>
          <x:t xml:space="preserve">No</x:t>
        </x:is>
      </x:c>
      <x:c r="W99" t="n">
        <x:v>8</x:v>
      </x:c>
      <x:c r="X99" t="inlineStr">
        <x:is>
          <x:t xml:space="preserve">Synthetic - CIE training only</x:t>
        </x:is>
      </x:c>
    </x:row>
    <x:row r="100">
      <x:c r="A100" t="inlineStr">
        <x:is>
          <x:t xml:space="preserve">LGL-26-0095</x:t>
        </x:is>
      </x:c>
      <x:c r="B100" s="9" t="n">
        <x:v>46128</x:v>
      </x:c>
      <x:c r="C100" t="inlineStr">
        <x:is>
          <x:t xml:space="preserve">Q2 2026</x:t>
        </x:is>
      </x:c>
      <x:c r="D100" t="inlineStr">
        <x:is>
          <x:t xml:space="preserve">Kenya</x:t>
        </x:is>
      </x:c>
      <x:c r="E100" t="inlineStr">
        <x:is>
          <x:t xml:space="preserve">Middle East &amp; Africa</x:t>
        </x:is>
      </x:c>
      <x:c r="F100" t="inlineStr">
        <x:is>
          <x:t xml:space="preserve">HR</x:t>
        </x:is>
      </x:c>
      <x:c r="G100" t="inlineStr">
        <x:is>
          <x:t xml:space="preserve">AI use request (internal)</x:t>
        </x:is>
      </x:c>
      <x:c r="H100" t="inlineStr">
        <x:is>
          <x:t xml:space="preserve">AI/analytics vendor</x:t>
        </x:is>
      </x:c>
      <x:c r="I100" t="inlineStr">
        <x:is>
          <x:t xml:space="preserve">Brightfold Data Pte</x:t>
        </x:is>
      </x:c>
      <x:c r="J100" t="inlineStr">
        <x:is>
          <x:t xml:space="preserve">AI transparency</x:t>
        </x:is>
      </x:c>
      <x:c r="K100" t="inlineStr">
        <x:is>
          <x:t xml:space="preserve">Minor</x:t>
        </x:is>
      </x:c>
      <x:c r="L100" t="inlineStr">
        <x:is>
          <x:t xml:space="preserve">None / public</x:t>
        </x:is>
      </x:c>
      <x:c r="M100" t="inlineStr">
        <x:is>
          <x:t xml:space="preserve">Automated decision support</x:t>
        </x:is>
      </x:c>
      <x:c r="N100" t="inlineStr">
        <x:is>
          <x:t xml:space="preserve">Emerging AI regulation - counsel to assess</x:t>
        </x:is>
      </x:c>
      <x:c r="O100" t="n">
        <x:v>3</x:v>
      </x:c>
      <x:c r="P100" t="n">
        <x:v>3</x:v>
      </x:c>
      <x:c r="Q100" t="n">
        <x:v>9</x:v>
      </x:c>
      <x:c r="R100" t="inlineStr">
        <x:is>
          <x:t xml:space="preserve">Medium</x:t>
        </x:is>
      </x:c>
      <x:c r="S100" t="inlineStr">
        <x:is>
          <x:t xml:space="preserve">AI Governance Panel</x:t>
        </x:is>
      </x:c>
      <x:c r="T100" s="9" t="n">
        <x:v>46146</x:v>
      </x:c>
      <x:c r="U100" t="inlineStr">
        <x:is>
          <x:t xml:space="preserve">Closed</x:t>
        </x:is>
      </x:c>
      <x:c r="V100" t="inlineStr">
        <x:is>
          <x:t xml:space="preserve">No</x:t>
        </x:is>
      </x:c>
      <x:c r="W100" t="n">
        <x:v>25</x:v>
      </x:c>
      <x:c r="X100" t="inlineStr">
        <x:is>
          <x:t xml:space="preserve">Synthetic - CIE training only</x:t>
        </x:is>
      </x:c>
    </x:row>
    <x:row r="101">
      <x:c r="A101" t="inlineStr">
        <x:is>
          <x:t xml:space="preserve">LGL-26-0096</x:t>
        </x:is>
      </x:c>
      <x:c r="B101" s="9" t="n">
        <x:v>46168</x:v>
      </x:c>
      <x:c r="C101" t="inlineStr">
        <x:is>
          <x:t xml:space="preserve">Q2 2026</x:t>
        </x:is>
      </x:c>
      <x:c r="D101" t="inlineStr">
        <x:is>
          <x:t xml:space="preserve">Kenya</x:t>
        </x:is>
      </x:c>
      <x:c r="E101" t="inlineStr">
        <x:is>
          <x:t xml:space="preserve">Middle East &amp; Africa</x:t>
        </x:is>
      </x:c>
      <x:c r="F101" t="inlineStr">
        <x:is>
          <x:t xml:space="preserve">Corporate Affairs</x:t>
        </x:is>
      </x:c>
      <x:c r="G101" t="inlineStr">
        <x:is>
          <x:t xml:space="preserve">Software licence</x:t>
        </x:is>
      </x:c>
      <x:c r="H101" t="inlineStr">
        <x:is>
          <x:t xml:space="preserve">Technology vendor</x:t>
        </x:is>
      </x:c>
      <x:c r="I101" t="inlineStr">
        <x:is>
          <x:t xml:space="preserve">Tessaro Systems BV</x:t>
        </x:is>
      </x:c>
      <x:c r="J101" t="inlineStr">
        <x:is>
          <x:t xml:space="preserve">Governing law</x:t>
        </x:is>
      </x:c>
      <x:c r="K101" t="inlineStr">
        <x:is>
          <x:t xml:space="preserve">Minor</x:t>
        </x:is>
      </x:c>
      <x:c r="L101" t="inlineStr">
        <x:is>
          <x:t xml:space="preserve">Personal data - employee</x:t>
        </x:is>
      </x:c>
      <x:c r="M101" t="inlineStr">
        <x:is>
          <x:t xml:space="preserve">None</x:t>
        </x:is>
      </x:c>
      <x:c r="N101" t="inlineStr">
        <x:is>
          <x:t xml:space="preserve">Cross-border data transfer</x:t>
        </x:is>
      </x:c>
      <x:c r="O101" t="n">
        <x:v>1</x:v>
      </x:c>
      <x:c r="P101" t="n">
        <x:v>3</x:v>
      </x:c>
      <x:c r="Q101" t="n">
        <x:v>3</x:v>
      </x:c>
      <x:c r="R101" t="inlineStr">
        <x:is>
          <x:t xml:space="preserve">Low</x:t>
        </x:is>
      </x:c>
      <x:c r="S101" t="inlineStr">
        <x:is>
          <x:t xml:space="preserve">Market Counsel</x:t>
        </x:is>
      </x:c>
      <x:c r="T101" s="9" t="n">
        <x:v>46188</x:v>
      </x:c>
      <x:c r="U101" t="inlineStr">
        <x:is>
          <x:t xml:space="preserve">Awaiting business info</x:t>
        </x:is>
      </x:c>
      <x:c r="V101" t="inlineStr">
        <x:is>
          <x:t xml:space="preserve">No</x:t>
        </x:is>
      </x:c>
      <x:c r="W101" t="n">
        <x:v>143</x:v>
      </x:c>
      <x:c r="X101" t="inlineStr">
        <x:is>
          <x:t xml:space="preserve">Synthetic - CIE training only</x:t>
        </x:is>
      </x:c>
    </x:row>
    <x:row r="102">
      <x:c r="A102" t="inlineStr">
        <x:is>
          <x:t xml:space="preserve">LGL-26-0097</x:t>
        </x:is>
      </x:c>
      <x:c r="B102" s="9" t="n">
        <x:v>46126</x:v>
      </x:c>
      <x:c r="C102" t="inlineStr">
        <x:is>
          <x:t xml:space="preserve">Q2 2026</x:t>
        </x:is>
      </x:c>
      <x:c r="D102" t="inlineStr">
        <x:is>
          <x:t xml:space="preserve">Romania</x:t>
        </x:is>
      </x:c>
      <x:c r="E102" t="inlineStr">
        <x:is>
          <x:t xml:space="preserve">Europe</x:t>
        </x:is>
      </x:c>
      <x:c r="F102" t="inlineStr">
        <x:is>
          <x:t xml:space="preserve">Operations</x:t>
        </x:is>
      </x:c>
      <x:c r="G102" t="inlineStr">
        <x:is>
          <x:t xml:space="preserve">Professional services</x:t>
        </x:is>
      </x:c>
      <x:c r="H102" t="inlineStr">
        <x:is>
          <x:t xml:space="preserve">Agency</x:t>
        </x:is>
      </x:c>
      <x:c r="I102" t="inlineStr">
        <x:is>
          <x:t xml:space="preserve">Lantern &amp; Reed Agency</x:t>
        </x:is>
      </x:c>
      <x:c r="J102" t="inlineStr">
        <x:is>
          <x:t xml:space="preserve">Data use / model training</x:t>
        </x:is>
      </x:c>
      <x:c r="K102" t="inlineStr">
        <x:is>
          <x:t xml:space="preserve">Major</x:t>
        </x:is>
      </x:c>
      <x:c r="L102" t="inlineStr">
        <x:is>
          <x:t xml:space="preserve">Personal data - consumer (adult)</x:t>
        </x:is>
      </x:c>
      <x:c r="M102" t="inlineStr">
        <x:is>
          <x:t xml:space="preserve">Generative AI output</x:t>
        </x:is>
      </x:c>
      <x:c r="N102" t="inlineStr">
        <x:is>
          <x:t xml:space="preserve">Cross-border data transfer</x:t>
        </x:is>
      </x:c>
      <x:c r="O102" t="n">
        <x:v>3</x:v>
      </x:c>
      <x:c r="P102" t="n">
        <x:v>3</x:v>
      </x:c>
      <x:c r="Q102" t="n">
        <x:v>9</x:v>
      </x:c>
      <x:c r="R102" t="inlineStr">
        <x:is>
          <x:t xml:space="preserve">Medium</x:t>
        </x:is>
      </x:c>
      <x:c r="S102" t="inlineStr">
        <x:is>
          <x:t xml:space="preserve">AI Governance Panel</x:t>
        </x:is>
      </x:c>
      <x:c r="T102" s="9" t="n">
        <x:v>46145</x:v>
      </x:c>
      <x:c r="U102" t="inlineStr">
        <x:is>
          <x:t xml:space="preserve">Closed</x:t>
        </x:is>
      </x:c>
      <x:c r="V102" t="inlineStr">
        <x:is>
          <x:t xml:space="preserve">No</x:t>
        </x:is>
      </x:c>
      <x:c r="W102" t="n">
        <x:v>12</x:v>
      </x:c>
      <x:c r="X102" t="inlineStr">
        <x:is>
          <x:t xml:space="preserve">Synthetic - CIE training only</x:t>
        </x:is>
      </x:c>
    </x:row>
    <x:row r="103">
      <x:c r="A103" t="inlineStr">
        <x:is>
          <x:t xml:space="preserve">LGL-26-0098</x:t>
        </x:is>
      </x:c>
      <x:c r="B103" s="9" t="n">
        <x:v>46139</x:v>
      </x:c>
      <x:c r="C103" t="inlineStr">
        <x:is>
          <x:t xml:space="preserve">Q2 2026</x:t>
        </x:is>
      </x:c>
      <x:c r="D103" t="inlineStr">
        <x:is>
          <x:t xml:space="preserve">South Africa</x:t>
        </x:is>
      </x:c>
      <x:c r="E103" t="inlineStr">
        <x:is>
          <x:t xml:space="preserve">Middle East &amp; Africa</x:t>
        </x:is>
      </x:c>
      <x:c r="F103" t="inlineStr">
        <x:is>
          <x:t xml:space="preserve">Operations</x:t>
        </x:is>
      </x:c>
      <x:c r="G103" t="inlineStr">
        <x:is>
          <x:t xml:space="preserve">Professional services</x:t>
        </x:is>
      </x:c>
      <x:c r="H103" t="inlineStr">
        <x:is>
          <x:t xml:space="preserve">Agency</x:t>
        </x:is>
      </x:c>
      <x:c r="I103" t="inlineStr">
        <x:is>
          <x:t xml:space="preserve">Saffron Lane Media</x:t>
        </x:is>
      </x:c>
      <x:c r="J103" t="inlineStr">
        <x:is>
          <x:t xml:space="preserve">Limitation of liability</x:t>
        </x:is>
      </x:c>
      <x:c r="K103" t="inlineStr">
        <x:is>
          <x:t xml:space="preserve">Minor</x:t>
        </x:is>
      </x:c>
      <x:c r="L103" t="inlineStr">
        <x:is>
          <x:t xml:space="preserve">Business confidential</x:t>
        </x:is>
      </x:c>
      <x:c r="M103" t="inlineStr">
        <x:is>
          <x:t xml:space="preserve">AI-enabled feature</x:t>
        </x:is>
      </x:c>
      <x:c r="N103" t="inlineStr">
        <x:is>
          <x:t xml:space="preserve">Emerging AI regulation - counsel to assess</x:t>
        </x:is>
      </x:c>
      <x:c r="O103" t="n">
        <x:v>2</x:v>
      </x:c>
      <x:c r="P103" t="n">
        <x:v>3</x:v>
      </x:c>
      <x:c r="Q103" t="n">
        <x:v>6</x:v>
      </x:c>
      <x:c r="R103" t="inlineStr">
        <x:is>
          <x:t xml:space="preserve">Medium</x:t>
        </x:is>
      </x:c>
      <x:c r="S103" t="inlineStr">
        <x:is>
          <x:t xml:space="preserve">Commercial Legal</x:t>
        </x:is>
      </x:c>
      <x:c r="T103" s="9" t="n">
        <x:v>46155</x:v>
      </x:c>
      <x:c r="U103" t="inlineStr">
        <x:is>
          <x:t xml:space="preserve">Closed</x:t>
        </x:is>
      </x:c>
      <x:c r="V103" t="inlineStr">
        <x:is>
          <x:t xml:space="preserve">No</x:t>
        </x:is>
      </x:c>
      <x:c r="W103" t="n">
        <x:v>23</x:v>
      </x:c>
      <x:c r="X103" t="inlineStr">
        <x:is>
          <x:t xml:space="preserve">Synthetic - CIE training only</x:t>
        </x:is>
      </x:c>
    </x:row>
    <x:row r="104">
      <x:c r="A104" t="inlineStr">
        <x:is>
          <x:t xml:space="preserve">LGL-26-0099</x:t>
        </x:is>
      </x:c>
      <x:c r="B104" s="9" t="n">
        <x:v>46127</x:v>
      </x:c>
      <x:c r="C104" t="inlineStr">
        <x:is>
          <x:t xml:space="preserve">Q2 2026</x:t>
        </x:is>
      </x:c>
      <x:c r="D104" t="inlineStr">
        <x:is>
          <x:t xml:space="preserve">South Africa</x:t>
        </x:is>
      </x:c>
      <x:c r="E104" t="inlineStr">
        <x:is>
          <x:t xml:space="preserve">Middle East &amp; Africa</x:t>
        </x:is>
      </x:c>
      <x:c r="F104" t="inlineStr">
        <x:is>
          <x:t xml:space="preserve">Corporate Affairs</x:t>
        </x:is>
      </x:c>
      <x:c r="G104" t="inlineStr">
        <x:is>
          <x:t xml:space="preserve">Software licence</x:t>
        </x:is>
      </x:c>
      <x:c r="H104" t="inlineStr">
        <x:is>
          <x:t xml:space="preserve">Technology vendor</x:t>
        </x:is>
      </x:c>
      <x:c r="I104" t="inlineStr">
        <x:is>
          <x:t xml:space="preserve">Pinemark Software Ltd</x:t>
        </x:is>
      </x:c>
      <x:c r="J104" t="inlineStr">
        <x:is>
          <x:t xml:space="preserve">Confidentiality</x:t>
        </x:is>
      </x:c>
      <x:c r="K104" t="inlineStr">
        <x:is>
          <x:t xml:space="preserve">Major</x:t>
        </x:is>
      </x:c>
      <x:c r="L104" t="inlineStr">
        <x:is>
          <x:t xml:space="preserve">Business confidential</x:t>
        </x:is>
      </x:c>
      <x:c r="M104" t="inlineStr">
        <x:is>
          <x:t xml:space="preserve">None</x:t>
        </x:is>
      </x:c>
      <x:c r="N104" t="inlineStr">
        <x:is>
          <x:t xml:space="preserve">Single market</x:t>
        </x:is>
      </x:c>
      <x:c r="O104" t="n">
        <x:v>2</x:v>
      </x:c>
      <x:c r="P104" t="n">
        <x:v>1</x:v>
      </x:c>
      <x:c r="Q104" t="n">
        <x:v>2</x:v>
      </x:c>
      <x:c r="R104" t="inlineStr">
        <x:is>
          <x:t xml:space="preserve">Low</x:t>
        </x:is>
      </x:c>
      <x:c r="S104" t="inlineStr">
        <x:is>
          <x:t xml:space="preserve">Commercial Legal</x:t>
        </x:is>
      </x:c>
      <x:c r="T104" s="9" t="n">
        <x:v>46150</x:v>
      </x:c>
      <x:c r="U104" t="inlineStr">
        <x:is>
          <x:t xml:space="preserve">Closed</x:t>
        </x:is>
      </x:c>
      <x:c r="V104" t="inlineStr">
        <x:is>
          <x:t xml:space="preserve">No</x:t>
        </x:is>
      </x:c>
      <x:c r="W104" t="n">
        <x:v>5</x:v>
      </x:c>
      <x:c r="X104" t="inlineStr">
        <x:is>
          <x:t xml:space="preserve">Synthetic - CIE training only</x:t>
        </x:is>
      </x:c>
    </x:row>
    <x:row r="105">
      <x:c r="A105" t="inlineStr">
        <x:is>
          <x:t xml:space="preserve">LGL-26-0100</x:t>
        </x:is>
      </x:c>
      <x:c r="B105" s="9" t="n">
        <x:v>46187</x:v>
      </x:c>
      <x:c r="C105" t="inlineStr">
        <x:is>
          <x:t xml:space="preserve">Q2 2026</x:t>
        </x:is>
      </x:c>
      <x:c r="D105" t="inlineStr">
        <x:is>
          <x:t xml:space="preserve">South Africa</x:t>
        </x:is>
      </x:c>
      <x:c r="E105" t="inlineStr">
        <x:is>
          <x:t xml:space="preserve">Middle East &amp; Africa</x:t>
        </x:is>
      </x:c>
      <x:c r="F105" t="inlineStr">
        <x:is>
          <x:t xml:space="preserve">Finance</x:t>
        </x:is>
      </x:c>
      <x:c r="G105" t="inlineStr">
        <x:is>
          <x:t xml:space="preserve">Distribution agreement</x:t>
        </x:is>
      </x:c>
      <x:c r="H105" t="inlineStr">
        <x:is>
          <x:t xml:space="preserve">Distributor</x:t>
        </x:is>
      </x:c>
      <x:c r="I105" t="inlineStr">
        <x:is>
          <x:t xml:space="preserve">Tidewater Logistics Co</x:t>
        </x:is>
      </x:c>
      <x:c r="J105" t="inlineStr">
        <x:is>
          <x:t xml:space="preserve">Confidentiality</x:t>
        </x:is>
      </x:c>
      <x:c r="K105" t="inlineStr">
        <x:is>
          <x:t xml:space="preserve">Minor</x:t>
        </x:is>
      </x:c>
      <x:c r="L105" t="inlineStr">
        <x:is>
          <x:t xml:space="preserve">Business confidential</x:t>
        </x:is>
      </x:c>
      <x:c r="M105" t="inlineStr">
        <x:is>
          <x:t xml:space="preserve">None</x:t>
        </x:is>
      </x:c>
      <x:c r="N105" t="inlineStr">
        <x:is>
          <x:t xml:space="preserve">Single market</x:t>
        </x:is>
      </x:c>
      <x:c r="O105" t="n">
        <x:v>1</x:v>
      </x:c>
      <x:c r="P105" t="n">
        <x:v>3</x:v>
      </x:c>
      <x:c r="Q105" t="n">
        <x:v>3</x:v>
      </x:c>
      <x:c r="R105" t="inlineStr">
        <x:is>
          <x:t xml:space="preserve">Low</x:t>
        </x:is>
      </x:c>
      <x:c r="S105" t="inlineStr">
        <x:is>
          <x:t xml:space="preserve">Commercial Legal</x:t>
        </x:is>
      </x:c>
      <x:c r="T105" s="9" t="n">
        <x:v>46208</x:v>
      </x:c>
      <x:c r="U105" t="inlineStr">
        <x:is>
          <x:t xml:space="preserve">Closed</x:t>
        </x:is>
      </x:c>
      <x:c r="V105" t="inlineStr">
        <x:is>
          <x:t xml:space="preserve">No</x:t>
        </x:is>
      </x:c>
      <x:c r="W105" t="n">
        <x:v>3</x:v>
      </x:c>
      <x:c r="X105" t="inlineStr">
        <x:is>
          <x:t xml:space="preserve">Synthetic - CIE training only</x:t>
        </x:is>
      </x:c>
    </x:row>
    <x:row r="106">
      <x:c r="A106" t="inlineStr">
        <x:is>
          <x:t xml:space="preserve">LGL-26-0101</x:t>
        </x:is>
      </x:c>
      <x:c r="B106" s="9" t="n">
        <x:v>46137</x:v>
      </x:c>
      <x:c r="C106" t="inlineStr">
        <x:is>
          <x:t xml:space="preserve">Q2 2026</x:t>
        </x:is>
      </x:c>
      <x:c r="D106" t="inlineStr">
        <x:is>
          <x:t xml:space="preserve">Japan</x:t>
        </x:is>
      </x:c>
      <x:c r="E106" t="inlineStr">
        <x:is>
          <x:t xml:space="preserve">Asia-Pacific</x:t>
        </x:is>
      </x:c>
      <x:c r="F106" t="inlineStr">
        <x:is>
          <x:t xml:space="preserve">Procurement</x:t>
        </x:is>
      </x:c>
      <x:c r="G106" t="inlineStr">
        <x:is>
          <x:t xml:space="preserve">Professional services</x:t>
        </x:is>
      </x:c>
      <x:c r="H106" t="inlineStr">
        <x:is>
          <x:t xml:space="preserve">Agency</x:t>
        </x:is>
      </x:c>
      <x:c r="I106" t="inlineStr">
        <x:is>
          <x:t xml:space="preserve">Corvid Creative Partners</x:t>
        </x:is>
      </x:c>
      <x:c r="J106" t="inlineStr">
        <x:is>
          <x:t xml:space="preserve">Termination</x:t>
        </x:is>
      </x:c>
      <x:c r="K106" t="inlineStr">
        <x:is>
          <x:t xml:space="preserve">Minor</x:t>
        </x:is>
      </x:c>
      <x:c r="L106" t="inlineStr">
        <x:is>
          <x:t xml:space="preserve">Personal data - employee</x:t>
        </x:is>
      </x:c>
      <x:c r="M106" t="inlineStr">
        <x:is>
          <x:t xml:space="preserve">Automated decision support</x:t>
        </x:is>
      </x:c>
      <x:c r="N106" t="inlineStr">
        <x:is>
          <x:t xml:space="preserve">Emerging AI regulation - counsel to assess</x:t>
        </x:is>
      </x:c>
      <x:c r="O106" t="n">
        <x:v>3</x:v>
      </x:c>
      <x:c r="P106" t="n">
        <x:v>4</x:v>
      </x:c>
      <x:c r="Q106" t="n">
        <x:v>12</x:v>
      </x:c>
      <x:c r="R106" t="inlineStr">
        <x:is>
          <x:t xml:space="preserve">High</x:t>
        </x:is>
      </x:c>
      <x:c r="S106" t="inlineStr">
        <x:is>
          <x:t xml:space="preserve">Commercial Legal</x:t>
        </x:is>
      </x:c>
      <x:c r="T106" s="9" t="n">
        <x:v>46152</x:v>
      </x:c>
      <x:c r="U106" t="inlineStr">
        <x:is>
          <x:t xml:space="preserve">Closed</x:t>
        </x:is>
      </x:c>
      <x:c r="V106" t="inlineStr">
        <x:is>
          <x:t xml:space="preserve">No</x:t>
        </x:is>
      </x:c>
      <x:c r="W106" t="n">
        <x:v>26</x:v>
      </x:c>
      <x:c r="X106" t="inlineStr">
        <x:is>
          <x:t xml:space="preserve">Synthetic - CIE training only</x:t>
        </x:is>
      </x:c>
    </x:row>
    <x:row r="107">
      <x:c r="A107" t="inlineStr">
        <x:is>
          <x:t xml:space="preserve">LGL-26-0102</x:t>
        </x:is>
      </x:c>
      <x:c r="B107" s="9" t="n">
        <x:v>46190</x:v>
      </x:c>
      <x:c r="C107" t="inlineStr">
        <x:is>
          <x:t xml:space="preserve">Q2 2026</x:t>
        </x:is>
      </x:c>
      <x:c r="D107" t="inlineStr">
        <x:is>
          <x:t xml:space="preserve">United Kingdom</x:t>
        </x:is>
      </x:c>
      <x:c r="E107" t="inlineStr">
        <x:is>
          <x:t xml:space="preserve">Europe</x:t>
        </x:is>
      </x:c>
      <x:c r="F107" t="inlineStr">
        <x:is>
          <x:t xml:space="preserve">Operations</x:t>
        </x:is>
      </x:c>
      <x:c r="G107" t="inlineStr">
        <x:is>
          <x:t xml:space="preserve">AI use request (internal)</x:t>
        </x:is>
      </x:c>
      <x:c r="H107" t="inlineStr">
        <x:is>
          <x:t xml:space="preserve">AI/analytics vendor</x:t>
        </x:is>
      </x:c>
      <x:c r="I107" t="inlineStr">
        <x:is>
          <x:t xml:space="preserve">Brightfold Data Pte</x:t>
        </x:is>
      </x:c>
      <x:c r="J107" t="inlineStr">
        <x:is>
          <x:t xml:space="preserve">Data use / model training</x:t>
        </x:is>
      </x:c>
      <x:c r="K107" t="inlineStr">
        <x:is>
          <x:t xml:space="preserve">Minor</x:t>
        </x:is>
      </x:c>
      <x:c r="L107" t="inlineStr">
        <x:is>
          <x:t xml:space="preserve">Personal data - employee</x:t>
        </x:is>
      </x:c>
      <x:c r="M107" t="inlineStr">
        <x:is>
          <x:t xml:space="preserve">AI-enabled feature</x:t>
        </x:is>
      </x:c>
      <x:c r="N107" t="inlineStr">
        <x:is>
          <x:t xml:space="preserve">Emerging AI regulation - counsel to assess</x:t>
        </x:is>
      </x:c>
      <x:c r="O107" t="n">
        <x:v>2</x:v>
      </x:c>
      <x:c r="P107" t="n">
        <x:v>4</x:v>
      </x:c>
      <x:c r="Q107" t="n">
        <x:v>8</x:v>
      </x:c>
      <x:c r="R107" t="inlineStr">
        <x:is>
          <x:t xml:space="preserve">Medium</x:t>
        </x:is>
      </x:c>
      <x:c r="S107" t="inlineStr">
        <x:is>
          <x:t xml:space="preserve">AI Governance Panel</x:t>
        </x:is>
      </x:c>
      <x:c r="T107" s="9" t="n">
        <x:v>46205</x:v>
      </x:c>
      <x:c r="U107" t="inlineStr">
        <x:is>
          <x:t xml:space="preserve">Closed</x:t>
        </x:is>
      </x:c>
      <x:c r="V107" t="inlineStr">
        <x:is>
          <x:t xml:space="preserve">No</x:t>
        </x:is>
      </x:c>
      <x:c r="W107" t="n">
        <x:v>17</x:v>
      </x:c>
      <x:c r="X107" t="inlineStr">
        <x:is>
          <x:t xml:space="preserve">Synthetic - CIE training only</x:t>
        </x:is>
      </x:c>
    </x:row>
    <x:row r="108">
      <x:c r="A108" t="inlineStr">
        <x:is>
          <x:t xml:space="preserve">LGL-26-0103</x:t>
        </x:is>
      </x:c>
      <x:c r="B108" s="9" t="n">
        <x:v>46121</x:v>
      </x:c>
      <x:c r="C108" t="inlineStr">
        <x:is>
          <x:t xml:space="preserve">Q2 2026</x:t>
        </x:is>
      </x:c>
      <x:c r="D108" t="inlineStr">
        <x:is>
          <x:t xml:space="preserve">South Africa</x:t>
        </x:is>
      </x:c>
      <x:c r="E108" t="inlineStr">
        <x:is>
          <x:t xml:space="preserve">Middle East &amp; Africa</x:t>
        </x:is>
      </x:c>
      <x:c r="F108" t="inlineStr">
        <x:is>
          <x:t xml:space="preserve">Operations</x:t>
        </x:is>
      </x:c>
      <x:c r="G108" t="inlineStr">
        <x:is>
          <x:t xml:space="preserve">AI use request (internal)</x:t>
        </x:is>
      </x:c>
      <x:c r="H108" t="inlineStr">
        <x:is>
          <x:t xml:space="preserve">AI/analytics vendor</x:t>
        </x:is>
      </x:c>
      <x:c r="I108" t="inlineStr">
        <x:is>
          <x:t xml:space="preserve">Northvale Insights SA</x:t>
        </x:is>
      </x:c>
      <x:c r="J108" t="inlineStr">
        <x:is>
          <x:t xml:space="preserve">AI transparency</x:t>
        </x:is>
      </x:c>
      <x:c r="K108" t="inlineStr">
        <x:is>
          <x:t xml:space="preserve">Minor</x:t>
        </x:is>
      </x:c>
      <x:c r="L108" t="inlineStr">
        <x:is>
          <x:t xml:space="preserve">Business confidential</x:t>
        </x:is>
      </x:c>
      <x:c r="M108" t="inlineStr">
        <x:is>
          <x:t xml:space="preserve">AI-enabled feature</x:t>
        </x:is>
      </x:c>
      <x:c r="N108" t="inlineStr">
        <x:is>
          <x:t xml:space="preserve">Single market</x:t>
        </x:is>
      </x:c>
      <x:c r="O108" t="n">
        <x:v>1</x:v>
      </x:c>
      <x:c r="P108" t="n">
        <x:v>3</x:v>
      </x:c>
      <x:c r="Q108" t="n">
        <x:v>3</x:v>
      </x:c>
      <x:c r="R108" t="inlineStr">
        <x:is>
          <x:t xml:space="preserve">Low</x:t>
        </x:is>
      </x:c>
      <x:c r="S108" t="inlineStr">
        <x:is>
          <x:t xml:space="preserve">AI Governance Panel</x:t>
        </x:is>
      </x:c>
      <x:c r="T108" s="9" t="n">
        <x:v>46145</x:v>
      </x:c>
      <x:c r="U108" t="inlineStr">
        <x:is>
          <x:t xml:space="preserve">Closed</x:t>
        </x:is>
      </x:c>
      <x:c r="V108" t="inlineStr">
        <x:is>
          <x:t xml:space="preserve">No</x:t>
        </x:is>
      </x:c>
      <x:c r="W108" t="n">
        <x:v>10</x:v>
      </x:c>
      <x:c r="X108" t="inlineStr">
        <x:is>
          <x:t xml:space="preserve">Synthetic - CIE training only</x:t>
        </x:is>
      </x:c>
    </x:row>
    <x:row r="109">
      <x:c r="A109" t="inlineStr">
        <x:is>
          <x:t xml:space="preserve">LGL-26-0104</x:t>
        </x:is>
      </x:c>
      <x:c r="B109" s="9" t="n">
        <x:v>46177</x:v>
      </x:c>
      <x:c r="C109" t="inlineStr">
        <x:is>
          <x:t xml:space="preserve">Q2 2026</x:t>
        </x:is>
      </x:c>
      <x:c r="D109" t="inlineStr">
        <x:is>
          <x:t xml:space="preserve">Poland</x:t>
        </x:is>
      </x:c>
      <x:c r="E109" t="inlineStr">
        <x:is>
          <x:t xml:space="preserve">Europe</x:t>
        </x:is>
      </x:c>
      <x:c r="F109" t="inlineStr">
        <x:is>
          <x:t xml:space="preserve">Operations</x:t>
        </x:is>
      </x:c>
      <x:c r="G109" t="inlineStr">
        <x:is>
          <x:t xml:space="preserve">Marketing agency agreement</x:t>
        </x:is>
      </x:c>
      <x:c r="H109" t="inlineStr">
        <x:is>
          <x:t xml:space="preserve">Agency</x:t>
        </x:is>
      </x:c>
      <x:c r="I109" t="inlineStr">
        <x:is>
          <x:t xml:space="preserve">Corvid Creative Partners</x:t>
        </x:is>
      </x:c>
      <x:c r="J109" t="inlineStr">
        <x:is>
          <x:t xml:space="preserve">Governing law</x:t>
        </x:is>
      </x:c>
      <x:c r="K109" t="inlineStr">
        <x:is>
          <x:t xml:space="preserve">Minor</x:t>
        </x:is>
      </x:c>
      <x:c r="L109" t="inlineStr">
        <x:is>
          <x:t xml:space="preserve">Business confidential</x:t>
        </x:is>
      </x:c>
      <x:c r="M109" t="inlineStr">
        <x:is>
          <x:t xml:space="preserve">None</x:t>
        </x:is>
      </x:c>
      <x:c r="N109" t="inlineStr">
        <x:is>
          <x:t xml:space="preserve">Single market</x:t>
        </x:is>
      </x:c>
      <x:c r="O109" t="n">
        <x:v>1</x:v>
      </x:c>
      <x:c r="P109" t="n">
        <x:v>3</x:v>
      </x:c>
      <x:c r="Q109" t="n">
        <x:v>3</x:v>
      </x:c>
      <x:c r="R109" t="inlineStr">
        <x:is>
          <x:t xml:space="preserve">Low</x:t>
        </x:is>
      </x:c>
      <x:c r="S109" t="inlineStr">
        <x:is>
          <x:t xml:space="preserve">Market Counsel</x:t>
        </x:is>
      </x:c>
      <x:c r="T109" s="9" t="n">
        <x:v>46201</x:v>
      </x:c>
      <x:c r="U109" t="inlineStr">
        <x:is>
          <x:t xml:space="preserve">Closed</x:t>
        </x:is>
      </x:c>
      <x:c r="V109" t="inlineStr">
        <x:is>
          <x:t xml:space="preserve">No</x:t>
        </x:is>
      </x:c>
      <x:c r="W109" t="n">
        <x:v>3</x:v>
      </x:c>
      <x:c r="X109" t="inlineStr">
        <x:is>
          <x:t xml:space="preserve">Synthetic - CIE training only</x:t>
        </x:is>
      </x:c>
    </x:row>
    <x:row r="110">
      <x:c r="A110" t="inlineStr">
        <x:is>
          <x:t xml:space="preserve">LGL-26-0105</x:t>
        </x:is>
      </x:c>
      <x:c r="B110" s="9" t="n">
        <x:v>46150</x:v>
      </x:c>
      <x:c r="C110" t="inlineStr">
        <x:is>
          <x:t xml:space="preserve">Q2 2026</x:t>
        </x:is>
      </x:c>
      <x:c r="D110" t="inlineStr">
        <x:is>
          <x:t xml:space="preserve">Kenya</x:t>
        </x:is>
      </x:c>
      <x:c r="E110" t="inlineStr">
        <x:is>
          <x:t xml:space="preserve">Middle East &amp; Africa</x:t>
        </x:is>
      </x:c>
      <x:c r="F110" t="inlineStr">
        <x:is>
          <x:t xml:space="preserve">Procurement</x:t>
        </x:is>
      </x:c>
      <x:c r="G110" t="inlineStr">
        <x:is>
          <x:t xml:space="preserve">Professional services</x:t>
        </x:is>
      </x:c>
      <x:c r="H110" t="inlineStr">
        <x:is>
          <x:t xml:space="preserve">Consultancy</x:t>
        </x:is>
      </x:c>
      <x:c r="I110" t="inlineStr">
        <x:is>
          <x:t xml:space="preserve">Meridian Ridge Advisory</x:t>
        </x:is>
      </x:c>
      <x:c r="J110" t="inlineStr">
        <x:is>
          <x:t xml:space="preserve">Confidentiality</x:t>
        </x:is>
      </x:c>
      <x:c r="K110" t="inlineStr">
        <x:is>
          <x:t xml:space="preserve">Major</x:t>
        </x:is>
      </x:c>
      <x:c r="L110" t="inlineStr">
        <x:is>
          <x:t xml:space="preserve">Business confidential</x:t>
        </x:is>
      </x:c>
      <x:c r="M110" t="inlineStr">
        <x:is>
          <x:t xml:space="preserve">None</x:t>
        </x:is>
      </x:c>
      <x:c r="N110" t="inlineStr">
        <x:is>
          <x:t xml:space="preserve">Single market</x:t>
        </x:is>
      </x:c>
      <x:c r="O110" t="n">
        <x:v>4</x:v>
      </x:c>
      <x:c r="P110" t="n">
        <x:v>1</x:v>
      </x:c>
      <x:c r="Q110" t="n">
        <x:v>4</x:v>
      </x:c>
      <x:c r="R110" t="inlineStr">
        <x:is>
          <x:t xml:space="preserve">Low</x:t>
        </x:is>
      </x:c>
      <x:c r="S110" t="inlineStr">
        <x:is>
          <x:t xml:space="preserve">Commercial Legal</x:t>
        </x:is>
      </x:c>
      <x:c r="T110" s="9" t="n">
        <x:v>46171</x:v>
      </x:c>
      <x:c r="U110" t="inlineStr">
        <x:is>
          <x:t xml:space="preserve">Closed</x:t>
        </x:is>
      </x:c>
      <x:c r="V110" t="inlineStr">
        <x:is>
          <x:t xml:space="preserve">No</x:t>
        </x:is>
      </x:c>
      <x:c r="W110" t="n">
        <x:v>12</x:v>
      </x:c>
      <x:c r="X110" t="inlineStr">
        <x:is>
          <x:t xml:space="preserve">Synthetic - CIE training only</x:t>
        </x:is>
      </x:c>
    </x:row>
    <x:row r="111">
      <x:c r="A111" t="inlineStr">
        <x:is>
          <x:t xml:space="preserve">LGL-26-0106</x:t>
        </x:is>
      </x:c>
      <x:c r="B111" s="9" t="n">
        <x:v>46187</x:v>
      </x:c>
      <x:c r="C111" t="inlineStr">
        <x:is>
          <x:t xml:space="preserve">Q2 2026</x:t>
        </x:is>
      </x:c>
      <x:c r="D111" t="inlineStr">
        <x:is>
          <x:t xml:space="preserve">Poland</x:t>
        </x:is>
      </x:c>
      <x:c r="E111" t="inlineStr">
        <x:is>
          <x:t xml:space="preserve">Europe</x:t>
        </x:is>
      </x:c>
      <x:c r="F111" t="inlineStr">
        <x:is>
          <x:t xml:space="preserve">HR</x:t>
        </x:is>
      </x:c>
      <x:c r="G111" t="inlineStr">
        <x:is>
          <x:t xml:space="preserve">Professional services</x:t>
        </x:is>
      </x:c>
      <x:c r="H111" t="inlineStr">
        <x:is>
          <x:t xml:space="preserve">Technology vendor</x:t>
        </x:is>
      </x:c>
      <x:c r="I111" t="inlineStr">
        <x:is>
          <x:t xml:space="preserve">Arcbridge Cloud Ltd</x:t>
        </x:is>
      </x:c>
      <x:c r="J111" t="inlineStr">
        <x:is>
          <x:t xml:space="preserve">IP in outputs</x:t>
        </x:is>
      </x:c>
      <x:c r="K111" t="inlineStr">
        <x:is>
          <x:t xml:space="preserve">Minor</x:t>
        </x:is>
      </x:c>
      <x:c r="L111" t="inlineStr">
        <x:is>
          <x:t xml:space="preserve">Personal data - employee</x:t>
        </x:is>
      </x:c>
      <x:c r="M111" t="inlineStr">
        <x:is>
          <x:t xml:space="preserve">AI-enabled feature</x:t>
        </x:is>
      </x:c>
      <x:c r="N111" t="inlineStr">
        <x:is>
          <x:t xml:space="preserve">Emerging AI regulation - counsel to assess</x:t>
        </x:is>
      </x:c>
      <x:c r="O111" t="n">
        <x:v>3</x:v>
      </x:c>
      <x:c r="P111" t="n">
        <x:v>2</x:v>
      </x:c>
      <x:c r="Q111" t="n">
        <x:v>6</x:v>
      </x:c>
      <x:c r="R111" t="inlineStr">
        <x:is>
          <x:t xml:space="preserve">Medium</x:t>
        </x:is>
      </x:c>
      <x:c r="S111" t="inlineStr">
        <x:is>
          <x:t xml:space="preserve">Digital &amp; Data Legal</x:t>
        </x:is>
      </x:c>
      <x:c r="T111" s="9" t="n">
        <x:v>46205</x:v>
      </x:c>
      <x:c r="U111" t="inlineStr">
        <x:is>
          <x:t xml:space="preserve">Closed</x:t>
        </x:is>
      </x:c>
      <x:c r="V111" t="inlineStr">
        <x:is>
          <x:t xml:space="preserve">No</x:t>
        </x:is>
      </x:c>
      <x:c r="W111" t="n">
        <x:v>23</x:v>
      </x:c>
      <x:c r="X111" t="inlineStr">
        <x:is>
          <x:t xml:space="preserve">Synthetic - CIE training only</x:t>
        </x:is>
      </x:c>
    </x:row>
    <x:row r="112">
      <x:c r="A112" t="inlineStr">
        <x:is>
          <x:t xml:space="preserve">LGL-26-0107</x:t>
        </x:is>
      </x:c>
      <x:c r="B112" s="9" t="n">
        <x:v>46190</x:v>
      </x:c>
      <x:c r="C112" t="inlineStr">
        <x:is>
          <x:t xml:space="preserve">Q2 2026</x:t>
        </x:is>
      </x:c>
      <x:c r="D112" t="inlineStr">
        <x:is>
          <x:t xml:space="preserve">Romania</x:t>
        </x:is>
      </x:c>
      <x:c r="E112" t="inlineStr">
        <x:is>
          <x:t xml:space="preserve">Europe</x:t>
        </x:is>
      </x:c>
      <x:c r="F112" t="inlineStr">
        <x:is>
          <x:t xml:space="preserve">Marketing</x:t>
        </x:is>
      </x:c>
      <x:c r="G112" t="inlineStr">
        <x:is>
          <x:t xml:space="preserve">SaaS / Cloud services</x:t>
        </x:is>
      </x:c>
      <x:c r="H112" t="inlineStr">
        <x:is>
          <x:t xml:space="preserve">Technology vendor</x:t>
        </x:is>
      </x:c>
      <x:c r="I112" t="inlineStr">
        <x:is>
          <x:t xml:space="preserve">Arcbridge Cloud Ltd</x:t>
        </x:is>
      </x:c>
      <x:c r="J112" t="inlineStr">
        <x:is>
          <x:t xml:space="preserve">Termination</x:t>
        </x:is>
      </x:c>
      <x:c r="K112" t="inlineStr">
        <x:is>
          <x:t xml:space="preserve">None</x:t>
        </x:is>
      </x:c>
      <x:c r="L112" t="inlineStr">
        <x:is>
          <x:t xml:space="preserve">Personal data - consumer (adult)</x:t>
        </x:is>
      </x:c>
      <x:c r="M112" t="inlineStr">
        <x:is>
          <x:t xml:space="preserve">None</x:t>
        </x:is>
      </x:c>
      <x:c r="N112" t="inlineStr">
        <x:is>
          <x:t xml:space="preserve">Single market</x:t>
        </x:is>
      </x:c>
      <x:c r="O112" t="n">
        <x:v>1</x:v>
      </x:c>
      <x:c r="P112" t="n">
        <x:v>3</x:v>
      </x:c>
      <x:c r="Q112" t="n">
        <x:v>3</x:v>
      </x:c>
      <x:c r="R112" t="inlineStr">
        <x:is>
          <x:t xml:space="preserve">Low</x:t>
        </x:is>
      </x:c>
      <x:c r="S112" t="inlineStr">
        <x:is>
          <x:t xml:space="preserve">Commercial Legal</x:t>
        </x:is>
      </x:c>
      <x:c r="T112" s="9" t="n">
        <x:v>46215</x:v>
      </x:c>
      <x:c r="U112" t="inlineStr">
        <x:is>
          <x:t xml:space="preserve">Closed</x:t>
        </x:is>
      </x:c>
      <x:c r="V112" t="inlineStr">
        <x:is>
          <x:t xml:space="preserve">No</x:t>
        </x:is>
      </x:c>
      <x:c r="W112" t="n">
        <x:v>8</x:v>
      </x:c>
      <x:c r="X112" t="inlineStr">
        <x:is>
          <x:t xml:space="preserve">Synthetic - CIE training only</x:t>
        </x:is>
      </x:c>
    </x:row>
    <x:row r="113">
      <x:c r="A113" t="inlineStr">
        <x:is>
          <x:t xml:space="preserve">LGL-26-0108</x:t>
        </x:is>
      </x:c>
      <x:c r="B113" s="9" t="n">
        <x:v>46150</x:v>
      </x:c>
      <x:c r="C113" t="inlineStr">
        <x:is>
          <x:t xml:space="preserve">Q2 2026</x:t>
        </x:is>
      </x:c>
      <x:c r="D113" t="inlineStr">
        <x:is>
          <x:t xml:space="preserve">Germany</x:t>
        </x:is>
      </x:c>
      <x:c r="E113" t="inlineStr">
        <x:is>
          <x:t xml:space="preserve">Europe</x:t>
        </x:is>
      </x:c>
      <x:c r="F113" t="inlineStr">
        <x:is>
          <x:t xml:space="preserve">Digital &amp; IT</x:t>
        </x:is>
      </x:c>
      <x:c r="G113" t="inlineStr">
        <x:is>
          <x:t xml:space="preserve">NDA</x:t>
        </x:is>
      </x:c>
      <x:c r="H113" t="inlineStr">
        <x:is>
          <x:t xml:space="preserve">Distributor</x:t>
        </x:is>
      </x:c>
      <x:c r="I113" t="inlineStr">
        <x:is>
          <x:t xml:space="preserve">Granite Coast Distribution</x:t>
        </x:is>
      </x:c>
      <x:c r="J113" t="inlineStr">
        <x:is>
          <x:t xml:space="preserve">Sub-processors</x:t>
        </x:is>
      </x:c>
      <x:c r="K113" t="inlineStr">
        <x:is>
          <x:t xml:space="preserve">Critical</x:t>
        </x:is>
      </x:c>
      <x:c r="L113" t="inlineStr">
        <x:is>
          <x:t xml:space="preserve">Personal data - consumer (adult)</x:t>
        </x:is>
      </x:c>
      <x:c r="M113" t="inlineStr">
        <x:is>
          <x:t xml:space="preserve">None</x:t>
        </x:is>
      </x:c>
      <x:c r="N113" t="inlineStr">
        <x:is>
          <x:t xml:space="preserve">Cross-border data transfer</x:t>
        </x:is>
      </x:c>
      <x:c r="O113" t="n">
        <x:v>4</x:v>
      </x:c>
      <x:c r="P113" t="n">
        <x:v>4</x:v>
      </x:c>
      <x:c r="Q113" t="n">
        <x:v>16</x:v>
      </x:c>
      <x:c r="R113" t="inlineStr">
        <x:is>
          <x:t xml:space="preserve">Critical</x:t>
        </x:is>
      </x:c>
      <x:c r="S113" t="inlineStr">
        <x:is>
          <x:t xml:space="preserve">Privacy Office</x:t>
        </x:is>
      </x:c>
      <x:c r="T113" s="9" t="n">
        <x:v>46320</x:v>
      </x:c>
      <x:c r="U113" t="inlineStr">
        <x:is>
          <x:t xml:space="preserve">In review</x:t>
        </x:is>
      </x:c>
      <x:c r="V113" t="inlineStr">
        <x:is>
          <x:t xml:space="preserve">No</x:t>
        </x:is>
      </x:c>
      <x:c r="W113" t="n">
        <x:v>161</x:v>
      </x:c>
      <x:c r="X113" t="inlineStr">
        <x:is>
          <x:t xml:space="preserve">Synthetic - CIE training only</x:t>
        </x:is>
      </x:c>
    </x:row>
    <x:row r="114">
      <x:c r="A114" t="inlineStr">
        <x:is>
          <x:t xml:space="preserve">LGL-26-0109</x:t>
        </x:is>
      </x:c>
      <x:c r="B114" s="9" t="n">
        <x:v>46196</x:v>
      </x:c>
      <x:c r="C114" t="inlineStr">
        <x:is>
          <x:t xml:space="preserve">Q2 2026</x:t>
        </x:is>
      </x:c>
      <x:c r="D114" t="inlineStr">
        <x:is>
          <x:t xml:space="preserve">Indonesia</x:t>
        </x:is>
      </x:c>
      <x:c r="E114" t="inlineStr">
        <x:is>
          <x:t xml:space="preserve">Asia-Pacific</x:t>
        </x:is>
      </x:c>
      <x:c r="F114" t="inlineStr">
        <x:is>
          <x:t xml:space="preserve">Operations</x:t>
        </x:is>
      </x:c>
      <x:c r="G114" t="inlineStr">
        <x:is>
          <x:t xml:space="preserve">SaaS / Cloud services</x:t>
        </x:is>
      </x:c>
      <x:c r="H114" t="inlineStr">
        <x:is>
          <x:t xml:space="preserve">Technology vendor</x:t>
        </x:is>
      </x:c>
      <x:c r="I114" t="inlineStr">
        <x:is>
          <x:t xml:space="preserve">Arcbridge Cloud Ltd</x:t>
        </x:is>
      </x:c>
      <x:c r="J114" t="inlineStr">
        <x:is>
          <x:t xml:space="preserve">Confidentiality</x:t>
        </x:is>
      </x:c>
      <x:c r="K114" t="inlineStr">
        <x:is>
          <x:t xml:space="preserve">None</x:t>
        </x:is>
      </x:c>
      <x:c r="L114" t="inlineStr">
        <x:is>
          <x:t xml:space="preserve">Personal data - consumer (adult)</x:t>
        </x:is>
      </x:c>
      <x:c r="M114" t="inlineStr">
        <x:is>
          <x:t xml:space="preserve">None</x:t>
        </x:is>
      </x:c>
      <x:c r="N114" t="inlineStr">
        <x:is>
          <x:t xml:space="preserve">Cross-border data transfer</x:t>
        </x:is>
      </x:c>
      <x:c r="O114" t="n">
        <x:v>1</x:v>
      </x:c>
      <x:c r="P114" t="n">
        <x:v>3</x:v>
      </x:c>
      <x:c r="Q114" t="n">
        <x:v>3</x:v>
      </x:c>
      <x:c r="R114" t="inlineStr">
        <x:is>
          <x:t xml:space="preserve">Low</x:t>
        </x:is>
      </x:c>
      <x:c r="S114" t="inlineStr">
        <x:is>
          <x:t xml:space="preserve">Commercial Legal</x:t>
        </x:is>
      </x:c>
      <x:c r="T114" s="9" t="n">
        <x:v>46220</x:v>
      </x:c>
      <x:c r="U114" t="inlineStr">
        <x:is>
          <x:t xml:space="preserve">Closed</x:t>
        </x:is>
      </x:c>
      <x:c r="V114" t="inlineStr">
        <x:is>
          <x:t xml:space="preserve">No</x:t>
        </x:is>
      </x:c>
      <x:c r="W114" t="n">
        <x:v>10</x:v>
      </x:c>
      <x:c r="X114" t="inlineStr">
        <x:is>
          <x:t xml:space="preserve">Synthetic - CIE training only</x:t>
        </x:is>
      </x:c>
    </x:row>
    <x:row r="115">
      <x:c r="A115" t="inlineStr">
        <x:is>
          <x:t xml:space="preserve">LGL-26-0110</x:t>
        </x:is>
      </x:c>
      <x:c r="B115" s="9" t="n">
        <x:v>46197</x:v>
      </x:c>
      <x:c r="C115" t="inlineStr">
        <x:is>
          <x:t xml:space="preserve">Q2 2026</x:t>
        </x:is>
      </x:c>
      <x:c r="D115" t="inlineStr">
        <x:is>
          <x:t xml:space="preserve">South Africa</x:t>
        </x:is>
      </x:c>
      <x:c r="E115" t="inlineStr">
        <x:is>
          <x:t xml:space="preserve">Middle East &amp; Africa</x:t>
        </x:is>
      </x:c>
      <x:c r="F115" t="inlineStr">
        <x:is>
          <x:t xml:space="preserve">Operations</x:t>
        </x:is>
      </x:c>
      <x:c r="G115" t="inlineStr">
        <x:is>
          <x:t xml:space="preserve">Data sharing agreement</x:t>
        </x:is>
      </x:c>
      <x:c r="H115" t="inlineStr">
        <x:is>
          <x:t xml:space="preserve">AI/analytics vendor</x:t>
        </x:is>
      </x:c>
      <x:c r="I115" t="inlineStr">
        <x:is>
          <x:t xml:space="preserve">Kestrel Signal Labs</x:t>
        </x:is>
      </x:c>
      <x:c r="J115" t="inlineStr">
        <x:is>
          <x:t xml:space="preserve">Data use / model training</x:t>
        </x:is>
      </x:c>
      <x:c r="K115" t="inlineStr">
        <x:is>
          <x:t xml:space="preserve">Major</x:t>
        </x:is>
      </x:c>
      <x:c r="L115" t="inlineStr">
        <x:is>
          <x:t xml:space="preserve">Personal data - employee</x:t>
        </x:is>
      </x:c>
      <x:c r="M115" t="inlineStr">
        <x:is>
          <x:t xml:space="preserve">AI-enabled feature</x:t>
        </x:is>
      </x:c>
      <x:c r="N115" t="inlineStr">
        <x:is>
          <x:t xml:space="preserve">Single market</x:t>
        </x:is>
      </x:c>
      <x:c r="O115" t="n">
        <x:v>3</x:v>
      </x:c>
      <x:c r="P115" t="n">
        <x:v>4</x:v>
      </x:c>
      <x:c r="Q115" t="n">
        <x:v>12</x:v>
      </x:c>
      <x:c r="R115" t="inlineStr">
        <x:is>
          <x:t xml:space="preserve">High</x:t>
        </x:is>
      </x:c>
      <x:c r="S115" t="inlineStr">
        <x:is>
          <x:t xml:space="preserve">AI Governance Panel</x:t>
        </x:is>
      </x:c>
      <x:c r="T115" s="9" t="n">
        <x:v>46212</x:v>
      </x:c>
      <x:c r="U115" t="inlineStr">
        <x:is>
          <x:t xml:space="preserve">Closed</x:t>
        </x:is>
      </x:c>
      <x:c r="V115" t="inlineStr">
        <x:is>
          <x:t xml:space="preserve">No</x:t>
        </x:is>
      </x:c>
      <x:c r="W115" t="n">
        <x:v>6</x:v>
      </x:c>
      <x:c r="X115" t="inlineStr">
        <x:is>
          <x:t xml:space="preserve">Synthetic - CIE training only</x:t>
        </x:is>
      </x:c>
    </x:row>
    <x:row r="116">
      <x:c r="A116" t="inlineStr">
        <x:is>
          <x:t xml:space="preserve">LGL-26-0111</x:t>
        </x:is>
      </x:c>
      <x:c r="B116" s="9" t="n">
        <x:v>46117</x:v>
      </x:c>
      <x:c r="C116" t="inlineStr">
        <x:is>
          <x:t xml:space="preserve">Q2 2026</x:t>
        </x:is>
      </x:c>
      <x:c r="D116" t="inlineStr">
        <x:is>
          <x:t xml:space="preserve">Germany</x:t>
        </x:is>
      </x:c>
      <x:c r="E116" t="inlineStr">
        <x:is>
          <x:t xml:space="preserve">Europe</x:t>
        </x:is>
      </x:c>
      <x:c r="F116" t="inlineStr">
        <x:is>
          <x:t xml:space="preserve">Procurement</x:t>
        </x:is>
      </x:c>
      <x:c r="G116" t="inlineStr">
        <x:is>
          <x:t xml:space="preserve">SaaS / Cloud services</x:t>
        </x:is>
      </x:c>
      <x:c r="H116" t="inlineStr">
        <x:is>
          <x:t xml:space="preserve">AI/analytics vendor</x:t>
        </x:is>
      </x:c>
      <x:c r="I116" t="inlineStr">
        <x:is>
          <x:t xml:space="preserve">Northvale Insights SA</x:t>
        </x:is>
      </x:c>
      <x:c r="J116" t="inlineStr">
        <x:is>
          <x:t xml:space="preserve">Sub-processors</x:t>
        </x:is>
      </x:c>
      <x:c r="K116" t="inlineStr">
        <x:is>
          <x:t xml:space="preserve">None</x:t>
        </x:is>
      </x:c>
      <x:c r="L116" t="inlineStr">
        <x:is>
          <x:t xml:space="preserve">Personal data - employee</x:t>
        </x:is>
      </x:c>
      <x:c r="M116" t="inlineStr">
        <x:is>
          <x:t xml:space="preserve">AI-enabled feature</x:t>
        </x:is>
      </x:c>
      <x:c r="N116" t="inlineStr">
        <x:is>
          <x:t xml:space="preserve">Cross-border data transfer</x:t>
        </x:is>
      </x:c>
      <x:c r="O116" t="n">
        <x:v>2</x:v>
      </x:c>
      <x:c r="P116" t="n">
        <x:v>2</x:v>
      </x:c>
      <x:c r="Q116" t="n">
        <x:v>4</x:v>
      </x:c>
      <x:c r="R116" t="inlineStr">
        <x:is>
          <x:t xml:space="preserve">Low</x:t>
        </x:is>
      </x:c>
      <x:c r="S116" t="inlineStr">
        <x:is>
          <x:t xml:space="preserve">Privacy Office</x:t>
        </x:is>
      </x:c>
      <x:c r="T116" s="9" t="n">
        <x:v>46142</x:v>
      </x:c>
      <x:c r="U116" t="inlineStr">
        <x:is>
          <x:t xml:space="preserve">Closed</x:t>
        </x:is>
      </x:c>
      <x:c r="V116" t="inlineStr">
        <x:is>
          <x:t xml:space="preserve">No</x:t>
        </x:is>
      </x:c>
      <x:c r="W116" t="n">
        <x:v>12</x:v>
      </x:c>
      <x:c r="X116" t="inlineStr">
        <x:is>
          <x:t xml:space="preserve">Synthetic - CIE training only</x:t>
        </x:is>
      </x:c>
    </x:row>
    <x:row r="117">
      <x:c r="A117" t="inlineStr">
        <x:is>
          <x:t xml:space="preserve">LGL-26-0112</x:t>
        </x:is>
      </x:c>
      <x:c r="B117" s="9" t="n">
        <x:v>46169</x:v>
      </x:c>
      <x:c r="C117" t="inlineStr">
        <x:is>
          <x:t xml:space="preserve">Q2 2026</x:t>
        </x:is>
      </x:c>
      <x:c r="D117" t="inlineStr">
        <x:is>
          <x:t xml:space="preserve">Indonesia</x:t>
        </x:is>
      </x:c>
      <x:c r="E117" t="inlineStr">
        <x:is>
          <x:t xml:space="preserve">Asia-Pacific</x:t>
        </x:is>
      </x:c>
      <x:c r="F117" t="inlineStr">
        <x:is>
          <x:t xml:space="preserve">HR</x:t>
        </x:is>
      </x:c>
      <x:c r="G117" t="inlineStr">
        <x:is>
          <x:t xml:space="preserve">Data sharing agreement</x:t>
        </x:is>
      </x:c>
      <x:c r="H117" t="inlineStr">
        <x:is>
          <x:t xml:space="preserve">AI/analytics vendor</x:t>
        </x:is>
      </x:c>
      <x:c r="I117" t="inlineStr">
        <x:is>
          <x:t xml:space="preserve">Northvale Insights SA</x:t>
        </x:is>
      </x:c>
      <x:c r="J117" t="inlineStr">
        <x:is>
          <x:t xml:space="preserve">Data use / model training</x:t>
        </x:is>
      </x:c>
      <x:c r="K117" t="inlineStr">
        <x:is>
          <x:t xml:space="preserve">Major</x:t>
        </x:is>
      </x:c>
      <x:c r="L117" t="inlineStr">
        <x:is>
          <x:t xml:space="preserve">Personal data - consumer (adult)</x:t>
        </x:is>
      </x:c>
      <x:c r="M117" t="inlineStr">
        <x:is>
          <x:t xml:space="preserve">Model training on BAT data</x:t>
        </x:is>
      </x:c>
      <x:c r="N117" t="inlineStr">
        <x:is>
          <x:t xml:space="preserve">Emerging AI regulation - counsel to assess</x:t>
        </x:is>
      </x:c>
      <x:c r="O117" t="n">
        <x:v>5</x:v>
      </x:c>
      <x:c r="P117" t="n">
        <x:v>5</x:v>
      </x:c>
      <x:c r="Q117" t="n">
        <x:v>25</x:v>
      </x:c>
      <x:c r="R117" t="inlineStr">
        <x:is>
          <x:t xml:space="preserve">Critical</x:t>
        </x:is>
      </x:c>
      <x:c r="S117" t="inlineStr">
        <x:is>
          <x:t xml:space="preserve">AI Governance Panel</x:t>
        </x:is>
      </x:c>
      <x:c r="T117" s="9" t="n">
        <x:v>46178</x:v>
      </x:c>
      <x:c r="U117" t="inlineStr">
        <x:is>
          <x:t xml:space="preserve">Closed</x:t>
        </x:is>
      </x:c>
      <x:c r="V117" t="inlineStr">
        <x:is>
          <x:t xml:space="preserve">No</x:t>
        </x:is>
      </x:c>
      <x:c r="W117" t="n">
        <x:v>20</x:v>
      </x:c>
      <x:c r="X117" t="inlineStr">
        <x:is>
          <x:t xml:space="preserve">Synthetic - CIE training only</x:t>
        </x:is>
      </x:c>
    </x:row>
    <x:row r="118">
      <x:c r="A118" t="inlineStr">
        <x:is>
          <x:t xml:space="preserve">LGL-26-0113</x:t>
        </x:is>
      </x:c>
      <x:c r="B118" s="9" t="n">
        <x:v>46251</x:v>
      </x:c>
      <x:c r="C118" t="inlineStr">
        <x:is>
          <x:t xml:space="preserve">Q3 2026</x:t>
        </x:is>
      </x:c>
      <x:c r="D118" t="inlineStr">
        <x:is>
          <x:t xml:space="preserve">South Africa</x:t>
        </x:is>
      </x:c>
      <x:c r="E118" t="inlineStr">
        <x:is>
          <x:t xml:space="preserve">Middle East &amp; Africa</x:t>
        </x:is>
      </x:c>
      <x:c r="F118" t="inlineStr">
        <x:is>
          <x:t xml:space="preserve">Corporate Affairs</x:t>
        </x:is>
      </x:c>
      <x:c r="G118" t="inlineStr">
        <x:is>
          <x:t xml:space="preserve">AI use request (internal)</x:t>
        </x:is>
      </x:c>
      <x:c r="H118" t="inlineStr">
        <x:is>
          <x:t xml:space="preserve">AI/analytics vendor</x:t>
        </x:is>
      </x:c>
      <x:c r="I118" t="inlineStr">
        <x:is>
          <x:t xml:space="preserve">Brightfold Data Pte</x:t>
        </x:is>
      </x:c>
      <x:c r="J118" t="inlineStr">
        <x:is>
          <x:t xml:space="preserve">Limitation of liability</x:t>
        </x:is>
      </x:c>
      <x:c r="K118" t="inlineStr">
        <x:is>
          <x:t xml:space="preserve">Minor</x:t>
        </x:is>
      </x:c>
      <x:c r="L118" t="inlineStr">
        <x:is>
          <x:t xml:space="preserve">Business confidential</x:t>
        </x:is>
      </x:c>
      <x:c r="M118" t="inlineStr">
        <x:is>
          <x:t xml:space="preserve">AI-enabled feature</x:t>
        </x:is>
      </x:c>
      <x:c r="N118" t="inlineStr">
        <x:is>
          <x:t xml:space="preserve">Emerging AI regulation - counsel to assess</x:t>
        </x:is>
      </x:c>
      <x:c r="O118" t="n">
        <x:v>3</x:v>
      </x:c>
      <x:c r="P118" t="n">
        <x:v>2</x:v>
      </x:c>
      <x:c r="Q118" t="n">
        <x:v>6</x:v>
      </x:c>
      <x:c r="R118" t="inlineStr">
        <x:is>
          <x:t xml:space="preserve">Medium</x:t>
        </x:is>
      </x:c>
      <x:c r="S118" t="inlineStr">
        <x:is>
          <x:t xml:space="preserve">Commercial Legal</x:t>
        </x:is>
      </x:c>
      <x:c r="T118" s="9" t="n">
        <x:v>46266</x:v>
      </x:c>
      <x:c r="U118" t="inlineStr">
        <x:is>
          <x:t xml:space="preserve">Closed</x:t>
        </x:is>
      </x:c>
      <x:c r="V118" t="inlineStr">
        <x:is>
          <x:t xml:space="preserve">No</x:t>
        </x:is>
      </x:c>
      <x:c r="W118" t="n">
        <x:v>25</x:v>
      </x:c>
      <x:c r="X118" t="inlineStr">
        <x:is>
          <x:t xml:space="preserve">Synthetic - CIE training only</x:t>
        </x:is>
      </x:c>
    </x:row>
    <x:row r="119">
      <x:c r="A119" t="inlineStr">
        <x:is>
          <x:t xml:space="preserve">LGL-26-0114</x:t>
        </x:is>
      </x:c>
      <x:c r="B119" s="9" t="n">
        <x:v>46279</x:v>
      </x:c>
      <x:c r="C119" t="inlineStr">
        <x:is>
          <x:t xml:space="preserve">Q3 2026</x:t>
        </x:is>
      </x:c>
      <x:c r="D119" t="inlineStr">
        <x:is>
          <x:t xml:space="preserve">Brazil</x:t>
        </x:is>
      </x:c>
      <x:c r="E119" t="inlineStr">
        <x:is>
          <x:t xml:space="preserve">Americas</x:t>
        </x:is>
      </x:c>
      <x:c r="F119" t="inlineStr">
        <x:is>
          <x:t xml:space="preserve">Finance</x:t>
        </x:is>
      </x:c>
      <x:c r="G119" t="inlineStr">
        <x:is>
          <x:t xml:space="preserve">Professional services</x:t>
        </x:is>
      </x:c>
      <x:c r="H119" t="inlineStr">
        <x:is>
          <x:t xml:space="preserve">Technology vendor</x:t>
        </x:is>
      </x:c>
      <x:c r="I119" t="inlineStr">
        <x:is>
          <x:t xml:space="preserve">Tessaro Systems BV</x:t>
        </x:is>
      </x:c>
      <x:c r="J119" t="inlineStr">
        <x:is>
          <x:t xml:space="preserve">Audit rights</x:t>
        </x:is>
      </x:c>
      <x:c r="K119" t="inlineStr">
        <x:is>
          <x:t xml:space="preserve">Minor</x:t>
        </x:is>
      </x:c>
      <x:c r="L119" t="inlineStr">
        <x:is>
          <x:t xml:space="preserve">Personal data - employee</x:t>
        </x:is>
      </x:c>
      <x:c r="M119" t="inlineStr">
        <x:is>
          <x:t xml:space="preserve">None</x:t>
        </x:is>
      </x:c>
      <x:c r="N119" t="inlineStr">
        <x:is>
          <x:t xml:space="preserve">Cross-border data transfer</x:t>
        </x:is>
      </x:c>
      <x:c r="O119" t="n">
        <x:v>1</x:v>
      </x:c>
      <x:c r="P119" t="n">
        <x:v>3</x:v>
      </x:c>
      <x:c r="Q119" t="n">
        <x:v>3</x:v>
      </x:c>
      <x:c r="R119" t="inlineStr">
        <x:is>
          <x:t xml:space="preserve">Low</x:t>
        </x:is>
      </x:c>
      <x:c r="S119" t="inlineStr">
        <x:is>
          <x:t xml:space="preserve">Digital &amp; Data Legal</x:t>
        </x:is>
      </x:c>
      <x:c r="T119" s="9" t="n">
        <x:v>46299</x:v>
      </x:c>
      <x:c r="U119" t="inlineStr">
        <x:is>
          <x:t xml:space="preserve">Awaiting business info</x:t>
        </x:is>
      </x:c>
      <x:c r="V119" t="inlineStr">
        <x:is>
          <x:t xml:space="preserve">No</x:t>
        </x:is>
      </x:c>
      <x:c r="W119" t="n">
        <x:v>32</x:v>
      </x:c>
      <x:c r="X119" t="inlineStr">
        <x:is>
          <x:t xml:space="preserve">Synthetic - CIE training only</x:t>
        </x:is>
      </x:c>
    </x:row>
    <x:row r="120">
      <x:c r="A120" t="inlineStr">
        <x:is>
          <x:t xml:space="preserve">LGL-26-0115</x:t>
        </x:is>
      </x:c>
      <x:c r="B120" s="9" t="n">
        <x:v>46225</x:v>
      </x:c>
      <x:c r="C120" t="inlineStr">
        <x:is>
          <x:t xml:space="preserve">Q3 2026</x:t>
        </x:is>
      </x:c>
      <x:c r="D120" t="inlineStr">
        <x:is>
          <x:t xml:space="preserve">South Africa</x:t>
        </x:is>
      </x:c>
      <x:c r="E120" t="inlineStr">
        <x:is>
          <x:t xml:space="preserve">Middle East &amp; Africa</x:t>
        </x:is>
      </x:c>
      <x:c r="F120" t="inlineStr">
        <x:is>
          <x:t xml:space="preserve">Finance</x:t>
        </x:is>
      </x:c>
      <x:c r="G120" t="inlineStr">
        <x:is>
          <x:t xml:space="preserve">Marketing agency agreement</x:t>
        </x:is>
      </x:c>
      <x:c r="H120" t="inlineStr">
        <x:is>
          <x:t xml:space="preserve">Agency</x:t>
        </x:is>
      </x:c>
      <x:c r="I120" t="inlineStr">
        <x:is>
          <x:t xml:space="preserve">Saffron Lane Media</x:t>
        </x:is>
      </x:c>
      <x:c r="J120" t="inlineStr">
        <x:is>
          <x:t xml:space="preserve">Data use / model training</x:t>
        </x:is>
      </x:c>
      <x:c r="K120" t="inlineStr">
        <x:is>
          <x:t xml:space="preserve">Major</x:t>
        </x:is>
      </x:c>
      <x:c r="L120" t="inlineStr">
        <x:is>
          <x:t xml:space="preserve">Personal data - employee</x:t>
        </x:is>
      </x:c>
      <x:c r="M120" t="inlineStr">
        <x:is>
          <x:t xml:space="preserve">AI-enabled feature</x:t>
        </x:is>
      </x:c>
      <x:c r="N120" t="inlineStr">
        <x:is>
          <x:t xml:space="preserve">Multi-jurisdiction - counsel to assess</x:t>
        </x:is>
      </x:c>
      <x:c r="O120" t="n">
        <x:v>3</x:v>
      </x:c>
      <x:c r="P120" t="n">
        <x:v>3</x:v>
      </x:c>
      <x:c r="Q120" t="n">
        <x:v>9</x:v>
      </x:c>
      <x:c r="R120" t="inlineStr">
        <x:is>
          <x:t xml:space="preserve">Medium</x:t>
        </x:is>
      </x:c>
      <x:c r="S120" t="inlineStr">
        <x:is>
          <x:t xml:space="preserve">AI Governance Panel</x:t>
        </x:is>
      </x:c>
      <x:c r="T120" s="9" t="n">
        <x:v>46322</x:v>
      </x:c>
      <x:c r="U120" t="inlineStr">
        <x:is>
          <x:t xml:space="preserve">In triage</x:t>
        </x:is>
      </x:c>
      <x:c r="V120" t="inlineStr">
        <x:is>
          <x:t xml:space="preserve">No</x:t>
        </x:is>
      </x:c>
      <x:c r="W120" t="n">
        <x:v>86</x:v>
      </x:c>
      <x:c r="X120" t="inlineStr">
        <x:is>
          <x:t xml:space="preserve">Synthetic - CIE training only</x:t>
        </x:is>
      </x:c>
    </x:row>
    <x:row r="121">
      <x:c r="A121" t="inlineStr">
        <x:is>
          <x:t xml:space="preserve">LGL-26-0116</x:t>
        </x:is>
      </x:c>
      <x:c r="B121" s="9" t="n">
        <x:v>46291</x:v>
      </x:c>
      <x:c r="C121" t="inlineStr">
        <x:is>
          <x:t xml:space="preserve">Q3 2026</x:t>
        </x:is>
      </x:c>
      <x:c r="D121" t="inlineStr">
        <x:is>
          <x:t xml:space="preserve">Indonesia</x:t>
        </x:is>
      </x:c>
      <x:c r="E121" t="inlineStr">
        <x:is>
          <x:t xml:space="preserve">Asia-Pacific</x:t>
        </x:is>
      </x:c>
      <x:c r="F121" t="inlineStr">
        <x:is>
          <x:t xml:space="preserve">Procurement</x:t>
        </x:is>
      </x:c>
      <x:c r="G121" t="inlineStr">
        <x:is>
          <x:t xml:space="preserve">Software licence</x:t>
        </x:is>
      </x:c>
      <x:c r="H121" t="inlineStr">
        <x:is>
          <x:t xml:space="preserve">Technology vendor</x:t>
        </x:is>
      </x:c>
      <x:c r="I121" t="inlineStr">
        <x:is>
          <x:t xml:space="preserve">Halcyon Workflow Inc</x:t>
        </x:is>
      </x:c>
      <x:c r="J121" t="inlineStr">
        <x:is>
          <x:t xml:space="preserve">Data use / model training</x:t>
        </x:is>
      </x:c>
      <x:c r="K121" t="inlineStr">
        <x:is>
          <x:t xml:space="preserve">Major</x:t>
        </x:is>
      </x:c>
      <x:c r="L121" t="inlineStr">
        <x:is>
          <x:t xml:space="preserve">Personal data - consumer (adult)</x:t>
        </x:is>
      </x:c>
      <x:c r="M121" t="inlineStr">
        <x:is>
          <x:t xml:space="preserve">Model training on BAT data</x:t>
        </x:is>
      </x:c>
      <x:c r="N121" t="inlineStr">
        <x:is>
          <x:t xml:space="preserve">Emerging AI regulation - counsel to assess</x:t>
        </x:is>
      </x:c>
      <x:c r="O121" t="n">
        <x:v>4</x:v>
      </x:c>
      <x:c r="P121" t="n">
        <x:v>4</x:v>
      </x:c>
      <x:c r="Q121" t="n">
        <x:v>16</x:v>
      </x:c>
      <x:c r="R121" t="inlineStr">
        <x:is>
          <x:t xml:space="preserve">Critical</x:t>
        </x:is>
      </x:c>
      <x:c r="S121" t="inlineStr">
        <x:is>
          <x:t xml:space="preserve">AI Governance Panel</x:t>
        </x:is>
      </x:c>
      <x:c r="T121" s="9" t="n">
        <x:v>46296</x:v>
      </x:c>
      <x:c r="U121" t="inlineStr">
        <x:is>
          <x:t xml:space="preserve">Closed</x:t>
        </x:is>
      </x:c>
      <x:c r="V121" t="inlineStr">
        <x:is>
          <x:t xml:space="preserve">Yes</x:t>
        </x:is>
      </x:c>
      <x:c r="W121" t="n">
        <x:v>26</x:v>
      </x:c>
      <x:c r="X121" t="inlineStr">
        <x:is>
          <x:t xml:space="preserve">Synthetic - CIE training only</x:t>
        </x:is>
      </x:c>
    </x:row>
    <x:row r="122">
      <x:c r="A122" t="inlineStr">
        <x:is>
          <x:t xml:space="preserve">LGL-26-0117</x:t>
        </x:is>
      </x:c>
      <x:c r="B122" s="9" t="n">
        <x:v>46225</x:v>
      </x:c>
      <x:c r="C122" t="inlineStr">
        <x:is>
          <x:t xml:space="preserve">Q3 2026</x:t>
        </x:is>
      </x:c>
      <x:c r="D122" t="inlineStr">
        <x:is>
          <x:t xml:space="preserve">Indonesia</x:t>
        </x:is>
      </x:c>
      <x:c r="E122" t="inlineStr">
        <x:is>
          <x:t xml:space="preserve">Asia-Pacific</x:t>
        </x:is>
      </x:c>
      <x:c r="F122" t="inlineStr">
        <x:is>
          <x:t xml:space="preserve">Finance</x:t>
        </x:is>
      </x:c>
      <x:c r="G122" t="inlineStr">
        <x:is>
          <x:t xml:space="preserve">SaaS / Cloud services</x:t>
        </x:is>
      </x:c>
      <x:c r="H122" t="inlineStr">
        <x:is>
          <x:t xml:space="preserve">AI/analytics vendor</x:t>
        </x:is>
      </x:c>
      <x:c r="I122" t="inlineStr">
        <x:is>
          <x:t xml:space="preserve">Brightfold Data Pte</x:t>
        </x:is>
      </x:c>
      <x:c r="J122" t="inlineStr">
        <x:is>
          <x:t xml:space="preserve">Limitation of liability</x:t>
        </x:is>
      </x:c>
      <x:c r="K122" t="inlineStr">
        <x:is>
          <x:t xml:space="preserve">Critical</x:t>
        </x:is>
      </x:c>
      <x:c r="L122" t="inlineStr">
        <x:is>
          <x:t xml:space="preserve">Personal data - consumer (adult)</x:t>
        </x:is>
      </x:c>
      <x:c r="M122" t="inlineStr">
        <x:is>
          <x:t xml:space="preserve">Automated decision support</x:t>
        </x:is>
      </x:c>
      <x:c r="N122" t="inlineStr">
        <x:is>
          <x:t xml:space="preserve">Emerging AI regulation - counsel to assess</x:t>
        </x:is>
      </x:c>
      <x:c r="O122" t="n">
        <x:v>4</x:v>
      </x:c>
      <x:c r="P122" t="n">
        <x:v>4</x:v>
      </x:c>
      <x:c r="Q122" t="n">
        <x:v>16</x:v>
      </x:c>
      <x:c r="R122" t="inlineStr">
        <x:is>
          <x:t xml:space="preserve">Critical</x:t>
        </x:is>
      </x:c>
      <x:c r="S122" t="inlineStr">
        <x:is>
          <x:t xml:space="preserve">Commercial Legal</x:t>
        </x:is>
      </x:c>
      <x:c r="T122" s="9" t="n">
        <x:v>46328</x:v>
      </x:c>
      <x:c r="U122" t="inlineStr">
        <x:is>
          <x:t xml:space="preserve">In triage</x:t>
        </x:is>
      </x:c>
      <x:c r="V122" t="inlineStr">
        <x:is>
          <x:t xml:space="preserve">Yes</x:t>
        </x:is>
      </x:c>
      <x:c r="W122" t="n">
        <x:v>86</x:v>
      </x:c>
      <x:c r="X122" t="inlineStr">
        <x:is>
          <x:t xml:space="preserve">Synthetic - CIE training only</x:t>
        </x:is>
      </x:c>
    </x:row>
    <x:row r="123">
      <x:c r="A123" t="inlineStr">
        <x:is>
          <x:t xml:space="preserve">LGL-26-0118</x:t>
        </x:is>
      </x:c>
      <x:c r="B123" s="9" t="n">
        <x:v>46240</x:v>
      </x:c>
      <x:c r="C123" t="inlineStr">
        <x:is>
          <x:t xml:space="preserve">Q3 2026</x:t>
        </x:is>
      </x:c>
      <x:c r="D123" t="inlineStr">
        <x:is>
          <x:t xml:space="preserve">Mexico</x:t>
        </x:is>
      </x:c>
      <x:c r="E123" t="inlineStr">
        <x:is>
          <x:t xml:space="preserve">Americas</x:t>
        </x:is>
      </x:c>
      <x:c r="F123" t="inlineStr">
        <x:is>
          <x:t xml:space="preserve">Marketing</x:t>
        </x:is>
      </x:c>
      <x:c r="G123" t="inlineStr">
        <x:is>
          <x:t xml:space="preserve">AI use request (internal)</x:t>
        </x:is>
      </x:c>
      <x:c r="H123" t="inlineStr">
        <x:is>
          <x:t xml:space="preserve">Internal (no counterparty)</x:t>
        </x:is>
      </x:c>
      <x:c r="I123" t="inlineStr">
        <x:is>
          <x:t xml:space="preserve">Internal request</x:t>
        </x:is>
      </x:c>
      <x:c r="J123" t="inlineStr">
        <x:is>
          <x:t xml:space="preserve">Limitation of liability</x:t>
        </x:is>
      </x:c>
      <x:c r="K123" t="inlineStr">
        <x:is>
          <x:t xml:space="preserve">Minor</x:t>
        </x:is>
      </x:c>
      <x:c r="L123" t="inlineStr">
        <x:is>
          <x:t xml:space="preserve">Business confidential</x:t>
        </x:is>
      </x:c>
      <x:c r="M123" t="inlineStr">
        <x:is>
          <x:t xml:space="preserve">Generative AI output</x:t>
        </x:is>
      </x:c>
      <x:c r="N123" t="inlineStr">
        <x:is>
          <x:t xml:space="preserve">Emerging AI regulation - counsel to assess</x:t>
        </x:is>
      </x:c>
      <x:c r="O123" t="n">
        <x:v>3</x:v>
      </x:c>
      <x:c r="P123" t="n">
        <x:v>2</x:v>
      </x:c>
      <x:c r="Q123" t="n">
        <x:v>6</x:v>
      </x:c>
      <x:c r="R123" t="inlineStr">
        <x:is>
          <x:t xml:space="preserve">Medium</x:t>
        </x:is>
      </x:c>
      <x:c r="S123" t="inlineStr">
        <x:is>
          <x:t xml:space="preserve">Commercial Legal</x:t>
        </x:is>
      </x:c>
      <x:c r="T123" s="9" t="n">
        <x:v>46260</x:v>
      </x:c>
      <x:c r="U123" t="inlineStr">
        <x:is>
          <x:t xml:space="preserve">Closed</x:t>
        </x:is>
      </x:c>
      <x:c r="V123" t="inlineStr">
        <x:is>
          <x:t xml:space="preserve">No</x:t>
        </x:is>
      </x:c>
      <x:c r="W123" t="n">
        <x:v>21</x:v>
      </x:c>
      <x:c r="X123" t="inlineStr">
        <x:is>
          <x:t xml:space="preserve">Synthetic - CIE training only</x:t>
        </x:is>
      </x:c>
    </x:row>
    <x:row r="124">
      <x:c r="A124" t="inlineStr">
        <x:is>
          <x:t xml:space="preserve">LGL-26-0119</x:t>
        </x:is>
      </x:c>
      <x:c r="B124" s="9" t="n">
        <x:v>46227</x:v>
      </x:c>
      <x:c r="C124" t="inlineStr">
        <x:is>
          <x:t xml:space="preserve">Q3 2026</x:t>
        </x:is>
      </x:c>
      <x:c r="D124" t="inlineStr">
        <x:is>
          <x:t xml:space="preserve">Kenya</x:t>
        </x:is>
      </x:c>
      <x:c r="E124" t="inlineStr">
        <x:is>
          <x:t xml:space="preserve">Middle East &amp; Africa</x:t>
        </x:is>
      </x:c>
      <x:c r="F124" t="inlineStr">
        <x:is>
          <x:t xml:space="preserve">Procurement</x:t>
        </x:is>
      </x:c>
      <x:c r="G124" t="inlineStr">
        <x:is>
          <x:t xml:space="preserve">NDA</x:t>
        </x:is>
      </x:c>
      <x:c r="H124" t="inlineStr">
        <x:is>
          <x:t xml:space="preserve">Consultancy</x:t>
        </x:is>
      </x:c>
      <x:c r="I124" t="inlineStr">
        <x:is>
          <x:t xml:space="preserve">Oakhurst Consulting LLP</x:t>
        </x:is>
      </x:c>
      <x:c r="J124" t="inlineStr">
        <x:is>
          <x:t xml:space="preserve">IP in outputs</x:t>
        </x:is>
      </x:c>
      <x:c r="K124" t="inlineStr">
        <x:is>
          <x:t xml:space="preserve">Major</x:t>
        </x:is>
      </x:c>
      <x:c r="L124" t="inlineStr">
        <x:is>
          <x:t xml:space="preserve">Personal data - employee</x:t>
        </x:is>
      </x:c>
      <x:c r="M124" t="inlineStr">
        <x:is>
          <x:t xml:space="preserve">None</x:t>
        </x:is>
      </x:c>
      <x:c r="N124" t="inlineStr">
        <x:is>
          <x:t xml:space="preserve">Single market</x:t>
        </x:is>
      </x:c>
      <x:c r="O124" t="n">
        <x:v>2</x:v>
      </x:c>
      <x:c r="P124" t="n">
        <x:v>3</x:v>
      </x:c>
      <x:c r="Q124" t="n">
        <x:v>6</x:v>
      </x:c>
      <x:c r="R124" t="inlineStr">
        <x:is>
          <x:t xml:space="preserve">Medium</x:t>
        </x:is>
      </x:c>
      <x:c r="S124" t="inlineStr">
        <x:is>
          <x:t xml:space="preserve">Digital &amp; Data Legal</x:t>
        </x:is>
      </x:c>
      <x:c r="T124" s="9" t="n">
        <x:v>46332</x:v>
      </x:c>
      <x:c r="U124" t="inlineStr">
        <x:is>
          <x:t xml:space="preserve">In triage</x:t>
        </x:is>
      </x:c>
      <x:c r="V124" t="inlineStr">
        <x:is>
          <x:t xml:space="preserve">No</x:t>
        </x:is>
      </x:c>
      <x:c r="W124" t="n">
        <x:v>84</x:v>
      </x:c>
      <x:c r="X124" t="inlineStr">
        <x:is>
          <x:t xml:space="preserve">Synthetic - CIE training only</x:t>
        </x:is>
      </x:c>
    </x:row>
    <x:row r="125">
      <x:c r="A125" t="inlineStr">
        <x:is>
          <x:t xml:space="preserve">LGL-26-0120</x:t>
        </x:is>
      </x:c>
      <x:c r="B125" s="9" t="n">
        <x:v>46288</x:v>
      </x:c>
      <x:c r="C125" t="inlineStr">
        <x:is>
          <x:t xml:space="preserve">Q3 2026</x:t>
        </x:is>
      </x:c>
      <x:c r="D125" t="inlineStr">
        <x:is>
          <x:t xml:space="preserve">Kenya</x:t>
        </x:is>
      </x:c>
      <x:c r="E125" t="inlineStr">
        <x:is>
          <x:t xml:space="preserve">Middle East &amp; Africa</x:t>
        </x:is>
      </x:c>
      <x:c r="F125" t="inlineStr">
        <x:is>
          <x:t xml:space="preserve">Finance</x:t>
        </x:is>
      </x:c>
      <x:c r="G125" t="inlineStr">
        <x:is>
          <x:t xml:space="preserve">Professional services</x:t>
        </x:is>
      </x:c>
      <x:c r="H125" t="inlineStr">
        <x:is>
          <x:t xml:space="preserve">Technology vendor</x:t>
        </x:is>
      </x:c>
      <x:c r="I125" t="inlineStr">
        <x:is>
          <x:t xml:space="preserve">Pinemark Software Ltd</x:t>
        </x:is>
      </x:c>
      <x:c r="J125" t="inlineStr">
        <x:is>
          <x:t xml:space="preserve">IP in outputs</x:t>
        </x:is>
      </x:c>
      <x:c r="K125" t="inlineStr">
        <x:is>
          <x:t xml:space="preserve">Major</x:t>
        </x:is>
      </x:c>
      <x:c r="L125" t="inlineStr">
        <x:is>
          <x:t xml:space="preserve">Personal data - consumer (adult)</x:t>
        </x:is>
      </x:c>
      <x:c r="M125" t="inlineStr">
        <x:is>
          <x:t xml:space="preserve">Generative AI output</x:t>
        </x:is>
      </x:c>
      <x:c r="N125" t="inlineStr">
        <x:is>
          <x:t xml:space="preserve">Single market</x:t>
        </x:is>
      </x:c>
      <x:c r="O125" t="n">
        <x:v>3</x:v>
      </x:c>
      <x:c r="P125" t="n">
        <x:v>4</x:v>
      </x:c>
      <x:c r="Q125" t="n">
        <x:v>12</x:v>
      </x:c>
      <x:c r="R125" t="inlineStr">
        <x:is>
          <x:t xml:space="preserve">High</x:t>
        </x:is>
      </x:c>
      <x:c r="S125" t="inlineStr">
        <x:is>
          <x:t xml:space="preserve">Digital &amp; Data Legal</x:t>
        </x:is>
      </x:c>
      <x:c r="T125" s="9" t="n">
        <x:v>46330</x:v>
      </x:c>
      <x:c r="U125" t="inlineStr">
        <x:is>
          <x:t xml:space="preserve">In review</x:t>
        </x:is>
      </x:c>
      <x:c r="V125" t="inlineStr">
        <x:is>
          <x:t xml:space="preserve">No</x:t>
        </x:is>
      </x:c>
      <x:c r="W125" t="n">
        <x:v>23</x:v>
      </x:c>
      <x:c r="X125" t="inlineStr">
        <x:is>
          <x:t xml:space="preserve">Synthetic - CIE training only</x:t>
        </x:is>
      </x:c>
    </x:row>
    <x:row r="126">
      <x:c r="A126" t="inlineStr">
        <x:is>
          <x:t xml:space="preserve">LGL-26-0121</x:t>
        </x:is>
      </x:c>
      <x:c r="B126" s="9" t="n">
        <x:v>46215</x:v>
      </x:c>
      <x:c r="C126" t="inlineStr">
        <x:is>
          <x:t xml:space="preserve">Q3 2026</x:t>
        </x:is>
      </x:c>
      <x:c r="D126" t="inlineStr">
        <x:is>
          <x:t xml:space="preserve">Romania</x:t>
        </x:is>
      </x:c>
      <x:c r="E126" t="inlineStr">
        <x:is>
          <x:t xml:space="preserve">Europe</x:t>
        </x:is>
      </x:c>
      <x:c r="F126" t="inlineStr">
        <x:is>
          <x:t xml:space="preserve">Marketing</x:t>
        </x:is>
      </x:c>
      <x:c r="G126" t="inlineStr">
        <x:is>
          <x:t xml:space="preserve">Software licence</x:t>
        </x:is>
      </x:c>
      <x:c r="H126" t="inlineStr">
        <x:is>
          <x:t xml:space="preserve">Technology vendor</x:t>
        </x:is>
      </x:c>
      <x:c r="I126" t="inlineStr">
        <x:is>
          <x:t xml:space="preserve">Pinemark Software Ltd</x:t>
        </x:is>
      </x:c>
      <x:c r="J126" t="inlineStr">
        <x:is>
          <x:t xml:space="preserve">AI transparency</x:t>
        </x:is>
      </x:c>
      <x:c r="K126" t="inlineStr">
        <x:is>
          <x:t xml:space="preserve">Minor</x:t>
        </x:is>
      </x:c>
      <x:c r="L126" t="inlineStr">
        <x:is>
          <x:t xml:space="preserve">Business confidential</x:t>
        </x:is>
      </x:c>
      <x:c r="M126" t="inlineStr">
        <x:is>
          <x:t xml:space="preserve">Generative AI output</x:t>
        </x:is>
      </x:c>
      <x:c r="N126" t="inlineStr">
        <x:is>
          <x:t xml:space="preserve">Single market</x:t>
        </x:is>
      </x:c>
      <x:c r="O126" t="n">
        <x:v>1</x:v>
      </x:c>
      <x:c r="P126" t="n">
        <x:v>2</x:v>
      </x:c>
      <x:c r="Q126" t="n">
        <x:v>2</x:v>
      </x:c>
      <x:c r="R126" t="inlineStr">
        <x:is>
          <x:t xml:space="preserve">Low</x:t>
        </x:is>
      </x:c>
      <x:c r="S126" t="inlineStr">
        <x:is>
          <x:t xml:space="preserve">AI Governance Panel</x:t>
        </x:is>
      </x:c>
      <x:c r="T126" s="9" t="n">
        <x:v>46235</x:v>
      </x:c>
      <x:c r="U126" t="inlineStr">
        <x:is>
          <x:t xml:space="preserve">Awaiting business info</x:t>
        </x:is>
      </x:c>
      <x:c r="V126" t="inlineStr">
        <x:is>
          <x:t xml:space="preserve">No</x:t>
        </x:is>
      </x:c>
      <x:c r="W126" t="n">
        <x:v>96</x:v>
      </x:c>
      <x:c r="X126" t="inlineStr">
        <x:is>
          <x:t xml:space="preserve">Synthetic - CIE training only</x:t>
        </x:is>
      </x:c>
    </x:row>
    <x:row r="127">
      <x:c r="A127" t="inlineStr">
        <x:is>
          <x:t xml:space="preserve">LGL-26-0122</x:t>
        </x:is>
      </x:c>
      <x:c r="B127" s="9" t="n">
        <x:v>46213</x:v>
      </x:c>
      <x:c r="C127" t="inlineStr">
        <x:is>
          <x:t xml:space="preserve">Q3 2026</x:t>
        </x:is>
      </x:c>
      <x:c r="D127" t="inlineStr">
        <x:is>
          <x:t xml:space="preserve">Brazil</x:t>
        </x:is>
      </x:c>
      <x:c r="E127" t="inlineStr">
        <x:is>
          <x:t xml:space="preserve">Americas</x:t>
        </x:is>
      </x:c>
      <x:c r="F127" t="inlineStr">
        <x:is>
          <x:t xml:space="preserve">Finance</x:t>
        </x:is>
      </x:c>
      <x:c r="G127" t="inlineStr">
        <x:is>
          <x:t xml:space="preserve">AI use request (internal)</x:t>
        </x:is>
      </x:c>
      <x:c r="H127" t="inlineStr">
        <x:is>
          <x:t xml:space="preserve">Internal (no counterparty)</x:t>
        </x:is>
      </x:c>
      <x:c r="I127" t="inlineStr">
        <x:is>
          <x:t xml:space="preserve">Internal request</x:t>
        </x:is>
      </x:c>
      <x:c r="J127" t="inlineStr">
        <x:is>
          <x:t xml:space="preserve">AI transparency</x:t>
        </x:is>
      </x:c>
      <x:c r="K127" t="inlineStr">
        <x:is>
          <x:t xml:space="preserve">Minor</x:t>
        </x:is>
      </x:c>
      <x:c r="L127" t="inlineStr">
        <x:is>
          <x:t xml:space="preserve">Business confidential</x:t>
        </x:is>
      </x:c>
      <x:c r="M127" t="inlineStr">
        <x:is>
          <x:t xml:space="preserve">Automated decision support</x:t>
        </x:is>
      </x:c>
      <x:c r="N127" t="inlineStr">
        <x:is>
          <x:t xml:space="preserve">Emerging AI regulation - counsel to assess</x:t>
        </x:is>
      </x:c>
      <x:c r="O127" t="n">
        <x:v>1</x:v>
      </x:c>
      <x:c r="P127" t="n">
        <x:v>3</x:v>
      </x:c>
      <x:c r="Q127" t="n">
        <x:v>3</x:v>
      </x:c>
      <x:c r="R127" t="inlineStr">
        <x:is>
          <x:t xml:space="preserve">Low</x:t>
        </x:is>
      </x:c>
      <x:c r="S127" t="inlineStr">
        <x:is>
          <x:t xml:space="preserve">AI Governance Panel</x:t>
        </x:is>
      </x:c>
      <x:c r="T127" s="9" t="n">
        <x:v>46319</x:v>
      </x:c>
      <x:c r="U127" t="inlineStr">
        <x:is>
          <x:t xml:space="preserve">In review</x:t>
        </x:is>
      </x:c>
      <x:c r="V127" t="inlineStr">
        <x:is>
          <x:t xml:space="preserve">No</x:t>
        </x:is>
      </x:c>
      <x:c r="W127" t="n">
        <x:v>98</x:v>
      </x:c>
      <x:c r="X127" t="inlineStr">
        <x:is>
          <x:t xml:space="preserve">Synthetic - CIE training only</x:t>
        </x:is>
      </x:c>
    </x:row>
    <x:row r="128">
      <x:c r="A128" t="inlineStr">
        <x:is>
          <x:t xml:space="preserve">LGL-26-0123</x:t>
        </x:is>
      </x:c>
      <x:c r="B128" s="9" t="n">
        <x:v>46272</x:v>
      </x:c>
      <x:c r="C128" t="inlineStr">
        <x:is>
          <x:t xml:space="preserve">Q3 2026</x:t>
        </x:is>
      </x:c>
      <x:c r="D128" t="inlineStr">
        <x:is>
          <x:t xml:space="preserve">Mexico</x:t>
        </x:is>
      </x:c>
      <x:c r="E128" t="inlineStr">
        <x:is>
          <x:t xml:space="preserve">Americas</x:t>
        </x:is>
      </x:c>
      <x:c r="F128" t="inlineStr">
        <x:is>
          <x:t xml:space="preserve">Corporate Affairs</x:t>
        </x:is>
      </x:c>
      <x:c r="G128" t="inlineStr">
        <x:is>
          <x:t xml:space="preserve">Data sharing agreement</x:t>
        </x:is>
      </x:c>
      <x:c r="H128" t="inlineStr">
        <x:is>
          <x:t xml:space="preserve">AI/analytics vendor</x:t>
        </x:is>
      </x:c>
      <x:c r="I128" t="inlineStr">
        <x:is>
          <x:t xml:space="preserve">Lumora Analytics Ltd</x:t>
        </x:is>
      </x:c>
      <x:c r="J128" t="inlineStr">
        <x:is>
          <x:t xml:space="preserve">Audit rights</x:t>
        </x:is>
      </x:c>
      <x:c r="K128" t="inlineStr">
        <x:is>
          <x:t xml:space="preserve">Minor</x:t>
        </x:is>
      </x:c>
      <x:c r="L128" t="inlineStr">
        <x:is>
          <x:t xml:space="preserve">None / public</x:t>
        </x:is>
      </x:c>
      <x:c r="M128" t="inlineStr">
        <x:is>
          <x:t xml:space="preserve">AI-enabled feature</x:t>
        </x:is>
      </x:c>
      <x:c r="N128" t="inlineStr">
        <x:is>
          <x:t xml:space="preserve">Emerging AI regulation - counsel to assess</x:t>
        </x:is>
      </x:c>
      <x:c r="O128" t="n">
        <x:v>2</x:v>
      </x:c>
      <x:c r="P128" t="n">
        <x:v>2</x:v>
      </x:c>
      <x:c r="Q128" t="n">
        <x:v>4</x:v>
      </x:c>
      <x:c r="R128" t="inlineStr">
        <x:is>
          <x:t xml:space="preserve">Low</x:t>
        </x:is>
      </x:c>
      <x:c r="S128" t="inlineStr">
        <x:is>
          <x:t xml:space="preserve">Digital &amp; Data Legal</x:t>
        </x:is>
      </x:c>
      <x:c r="T128" s="9" t="n">
        <x:v>46294</x:v>
      </x:c>
      <x:c r="U128" t="inlineStr">
        <x:is>
          <x:t xml:space="preserve">Closed</x:t>
        </x:is>
      </x:c>
      <x:c r="V128" t="inlineStr">
        <x:is>
          <x:t xml:space="preserve">No</x:t>
        </x:is>
      </x:c>
      <x:c r="W128" t="n">
        <x:v>27</x:v>
      </x:c>
      <x:c r="X128" t="inlineStr">
        <x:is>
          <x:t xml:space="preserve">Synthetic - CIE training only</x:t>
        </x:is>
      </x:c>
    </x:row>
    <x:row r="129">
      <x:c r="A129" t="inlineStr">
        <x:is>
          <x:t xml:space="preserve">LGL-26-0124</x:t>
        </x:is>
      </x:c>
      <x:c r="B129" s="9" t="n">
        <x:v>46230</x:v>
      </x:c>
      <x:c r="C129" t="inlineStr">
        <x:is>
          <x:t xml:space="preserve">Q3 2026</x:t>
        </x:is>
      </x:c>
      <x:c r="D129" t="inlineStr">
        <x:is>
          <x:t xml:space="preserve">Germany</x:t>
        </x:is>
      </x:c>
      <x:c r="E129" t="inlineStr">
        <x:is>
          <x:t xml:space="preserve">Europe</x:t>
        </x:is>
      </x:c>
      <x:c r="F129" t="inlineStr">
        <x:is>
          <x:t xml:space="preserve">Finance</x:t>
        </x:is>
      </x:c>
      <x:c r="G129" t="inlineStr">
        <x:is>
          <x:t xml:space="preserve">Professional services</x:t>
        </x:is>
      </x:c>
      <x:c r="H129" t="inlineStr">
        <x:is>
          <x:t xml:space="preserve">Technology vendor</x:t>
        </x:is>
      </x:c>
      <x:c r="I129" t="inlineStr">
        <x:is>
          <x:t xml:space="preserve">Tessaro Systems BV</x:t>
        </x:is>
      </x:c>
      <x:c r="J129" t="inlineStr">
        <x:is>
          <x:t xml:space="preserve">Governing law</x:t>
        </x:is>
      </x:c>
      <x:c r="K129" t="inlineStr">
        <x:is>
          <x:t xml:space="preserve">None</x:t>
        </x:is>
      </x:c>
      <x:c r="L129" t="inlineStr">
        <x:is>
          <x:t xml:space="preserve">Personal data - consumer (adult)</x:t>
        </x:is>
      </x:c>
      <x:c r="M129" t="inlineStr">
        <x:is>
          <x:t xml:space="preserve">None</x:t>
        </x:is>
      </x:c>
      <x:c r="N129" t="inlineStr">
        <x:is>
          <x:t xml:space="preserve">Single market</x:t>
        </x:is>
      </x:c>
      <x:c r="O129" t="n">
        <x:v>1</x:v>
      </x:c>
      <x:c r="P129" t="n">
        <x:v>2</x:v>
      </x:c>
      <x:c r="Q129" t="n">
        <x:v>2</x:v>
      </x:c>
      <x:c r="R129" t="inlineStr">
        <x:is>
          <x:t xml:space="preserve">Low</x:t>
        </x:is>
      </x:c>
      <x:c r="S129" t="inlineStr">
        <x:is>
          <x:t xml:space="preserve">Market Counsel</x:t>
        </x:is>
      </x:c>
      <x:c r="T129" s="9" t="n">
        <x:v>46328</x:v>
      </x:c>
      <x:c r="U129" t="inlineStr">
        <x:is>
          <x:t xml:space="preserve">Escalated</x:t>
        </x:is>
      </x:c>
      <x:c r="V129" t="inlineStr">
        <x:is>
          <x:t xml:space="preserve">Yes</x:t>
        </x:is>
      </x:c>
      <x:c r="W129" t="n">
        <x:v>81</x:v>
      </x:c>
      <x:c r="X129" t="inlineStr">
        <x:is>
          <x:t xml:space="preserve">Synthetic - CIE training only</x:t>
        </x:is>
      </x:c>
    </x:row>
    <x:row r="130">
      <x:c r="A130" t="inlineStr">
        <x:is>
          <x:t xml:space="preserve">LGL-26-0125</x:t>
        </x:is>
      </x:c>
      <x:c r="B130" s="9" t="n">
        <x:v>46247</x:v>
      </x:c>
      <x:c r="C130" t="inlineStr">
        <x:is>
          <x:t xml:space="preserve">Q3 2026</x:t>
        </x:is>
      </x:c>
      <x:c r="D130" t="inlineStr">
        <x:is>
          <x:t xml:space="preserve">South Africa</x:t>
        </x:is>
      </x:c>
      <x:c r="E130" t="inlineStr">
        <x:is>
          <x:t xml:space="preserve">Middle East &amp; Africa</x:t>
        </x:is>
      </x:c>
      <x:c r="F130" t="inlineStr">
        <x:is>
          <x:t xml:space="preserve">Operations</x:t>
        </x:is>
      </x:c>
      <x:c r="G130" t="inlineStr">
        <x:is>
          <x:t xml:space="preserve">Marketing agency agreement</x:t>
        </x:is>
      </x:c>
      <x:c r="H130" t="inlineStr">
        <x:is>
          <x:t xml:space="preserve">Agency</x:t>
        </x:is>
      </x:c>
      <x:c r="I130" t="inlineStr">
        <x:is>
          <x:t xml:space="preserve">Corvid Creative Partners</x:t>
        </x:is>
      </x:c>
      <x:c r="J130" t="inlineStr">
        <x:is>
          <x:t xml:space="preserve">Audit rights</x:t>
        </x:is>
      </x:c>
      <x:c r="K130" t="inlineStr">
        <x:is>
          <x:t xml:space="preserve">None</x:t>
        </x:is>
      </x:c>
      <x:c r="L130" t="inlineStr">
        <x:is>
          <x:t xml:space="preserve">None / public</x:t>
        </x:is>
      </x:c>
      <x:c r="M130" t="inlineStr">
        <x:is>
          <x:t xml:space="preserve">None</x:t>
        </x:is>
      </x:c>
      <x:c r="N130" t="inlineStr">
        <x:is>
          <x:t xml:space="preserve">Single market</x:t>
        </x:is>
      </x:c>
      <x:c r="O130" t="n">
        <x:v>1</x:v>
      </x:c>
      <x:c r="P130" t="n">
        <x:v>1</x:v>
      </x:c>
      <x:c r="Q130" t="n">
        <x:v>1</x:v>
      </x:c>
      <x:c r="R130" t="inlineStr">
        <x:is>
          <x:t xml:space="preserve">Low</x:t>
        </x:is>
      </x:c>
      <x:c r="S130" t="inlineStr">
        <x:is>
          <x:t xml:space="preserve">Digital &amp; Data Legal</x:t>
        </x:is>
      </x:c>
      <x:c r="T130" s="9" t="n">
        <x:v>46318</x:v>
      </x:c>
      <x:c r="U130" t="inlineStr">
        <x:is>
          <x:t xml:space="preserve">In review</x:t>
        </x:is>
      </x:c>
      <x:c r="V130" t="inlineStr">
        <x:is>
          <x:t xml:space="preserve">No</x:t>
        </x:is>
      </x:c>
      <x:c r="W130" t="n">
        <x:v>64</x:v>
      </x:c>
      <x:c r="X130" t="inlineStr">
        <x:is>
          <x:t xml:space="preserve">Synthetic - CIE training only</x:t>
        </x:is>
      </x:c>
    </x:row>
    <x:row r="131">
      <x:c r="A131" t="inlineStr">
        <x:is>
          <x:t xml:space="preserve">LGL-26-0126</x:t>
        </x:is>
      </x:c>
      <x:c r="B131" s="9" t="n">
        <x:v>46267</x:v>
      </x:c>
      <x:c r="C131" t="inlineStr">
        <x:is>
          <x:t xml:space="preserve">Q3 2026</x:t>
        </x:is>
      </x:c>
      <x:c r="D131" t="inlineStr">
        <x:is>
          <x:t xml:space="preserve">Romania</x:t>
        </x:is>
      </x:c>
      <x:c r="E131" t="inlineStr">
        <x:is>
          <x:t xml:space="preserve">Europe</x:t>
        </x:is>
      </x:c>
      <x:c r="F131" t="inlineStr">
        <x:is>
          <x:t xml:space="preserve">Digital &amp; IT</x:t>
        </x:is>
      </x:c>
      <x:c r="G131" t="inlineStr">
        <x:is>
          <x:t xml:space="preserve">Professional services</x:t>
        </x:is>
      </x:c>
      <x:c r="H131" t="inlineStr">
        <x:is>
          <x:t xml:space="preserve">Agency</x:t>
        </x:is>
      </x:c>
      <x:c r="I131" t="inlineStr">
        <x:is>
          <x:t xml:space="preserve">Lantern &amp; Reed Agency</x:t>
        </x:is>
      </x:c>
      <x:c r="J131" t="inlineStr">
        <x:is>
          <x:t xml:space="preserve">Limitation of liability</x:t>
        </x:is>
      </x:c>
      <x:c r="K131" t="inlineStr">
        <x:is>
          <x:t xml:space="preserve">Minor</x:t>
        </x:is>
      </x:c>
      <x:c r="L131" t="inlineStr">
        <x:is>
          <x:t xml:space="preserve">Business confidential</x:t>
        </x:is>
      </x:c>
      <x:c r="M131" t="inlineStr">
        <x:is>
          <x:t xml:space="preserve">None</x:t>
        </x:is>
      </x:c>
      <x:c r="N131" t="inlineStr">
        <x:is>
          <x:t xml:space="preserve">Single market</x:t>
        </x:is>
      </x:c>
      <x:c r="O131" t="n">
        <x:v>1</x:v>
      </x:c>
      <x:c r="P131" t="n">
        <x:v>2</x:v>
      </x:c>
      <x:c r="Q131" t="n">
        <x:v>2</x:v>
      </x:c>
      <x:c r="R131" t="inlineStr">
        <x:is>
          <x:t xml:space="preserve">Low</x:t>
        </x:is>
      </x:c>
      <x:c r="S131" t="inlineStr">
        <x:is>
          <x:t xml:space="preserve">Commercial Legal</x:t>
        </x:is>
      </x:c>
      <x:c r="T131" s="9" t="n">
        <x:v>46325</x:v>
      </x:c>
      <x:c r="U131" t="inlineStr">
        <x:is>
          <x:t xml:space="preserve">Escalated</x:t>
        </x:is>
      </x:c>
      <x:c r="V131" t="inlineStr">
        <x:is>
          <x:t xml:space="preserve">Yes</x:t>
        </x:is>
      </x:c>
      <x:c r="W131" t="n">
        <x:v>44</x:v>
      </x:c>
      <x:c r="X131" t="inlineStr">
        <x:is>
          <x:t xml:space="preserve">Synthetic - CIE training only</x:t>
        </x:is>
      </x:c>
    </x:row>
    <x:row r="132">
      <x:c r="A132" t="inlineStr">
        <x:is>
          <x:t xml:space="preserve">LGL-26-0127</x:t>
        </x:is>
      </x:c>
      <x:c r="B132" s="9" t="n">
        <x:v>46293</x:v>
      </x:c>
      <x:c r="C132" t="inlineStr">
        <x:is>
          <x:t xml:space="preserve">Q3 2026</x:t>
        </x:is>
      </x:c>
      <x:c r="D132" t="inlineStr">
        <x:is>
          <x:t xml:space="preserve">Mexico</x:t>
        </x:is>
      </x:c>
      <x:c r="E132" t="inlineStr">
        <x:is>
          <x:t xml:space="preserve">Americas</x:t>
        </x:is>
      </x:c>
      <x:c r="F132" t="inlineStr">
        <x:is>
          <x:t xml:space="preserve">Corporate Affairs</x:t>
        </x:is>
      </x:c>
      <x:c r="G132" t="inlineStr">
        <x:is>
          <x:t xml:space="preserve">NDA</x:t>
        </x:is>
      </x:c>
      <x:c r="H132" t="inlineStr">
        <x:is>
          <x:t xml:space="preserve">Consultancy</x:t>
        </x:is>
      </x:c>
      <x:c r="I132" t="inlineStr">
        <x:is>
          <x:t xml:space="preserve">Meridian Ridge Advisory</x:t>
        </x:is>
      </x:c>
      <x:c r="J132" t="inlineStr">
        <x:is>
          <x:t xml:space="preserve">Confidentiality</x:t>
        </x:is>
      </x:c>
      <x:c r="K132" t="inlineStr">
        <x:is>
          <x:t xml:space="preserve">None</x:t>
        </x:is>
      </x:c>
      <x:c r="L132" t="inlineStr">
        <x:is>
          <x:t xml:space="preserve">Business confidential</x:t>
        </x:is>
      </x:c>
      <x:c r="M132" t="inlineStr">
        <x:is>
          <x:t xml:space="preserve">None</x:t>
        </x:is>
      </x:c>
      <x:c r="N132" t="inlineStr">
        <x:is>
          <x:t xml:space="preserve">Single market</x:t>
        </x:is>
      </x:c>
      <x:c r="O132" t="n">
        <x:v>2</x:v>
      </x:c>
      <x:c r="P132" t="n">
        <x:v>2</x:v>
      </x:c>
      <x:c r="Q132" t="n">
        <x:v>4</x:v>
      </x:c>
      <x:c r="R132" t="inlineStr">
        <x:is>
          <x:t xml:space="preserve">Low</x:t>
        </x:is>
      </x:c>
      <x:c r="S132" t="inlineStr">
        <x:is>
          <x:t xml:space="preserve">Commercial Legal</x:t>
        </x:is>
      </x:c>
      <x:c r="T132" s="9" t="n">
        <x:v>46312</x:v>
      </x:c>
      <x:c r="U132" t="inlineStr">
        <x:is>
          <x:t xml:space="preserve">New</x:t>
        </x:is>
      </x:c>
      <x:c r="V132" t="inlineStr">
        <x:is>
          <x:t xml:space="preserve">No</x:t>
        </x:is>
      </x:c>
      <x:c r="W132" t="n">
        <x:v>18</x:v>
      </x:c>
      <x:c r="X132" t="inlineStr">
        <x:is>
          <x:t xml:space="preserve">Synthetic - CIE training only</x:t>
        </x:is>
      </x:c>
    </x:row>
    <x:row r="133">
      <x:c r="A133" t="inlineStr">
        <x:is>
          <x:t xml:space="preserve">LGL-26-0128</x:t>
        </x:is>
      </x:c>
      <x:c r="B133" s="9" t="n">
        <x:v>46283</x:v>
      </x:c>
      <x:c r="C133" t="inlineStr">
        <x:is>
          <x:t xml:space="preserve">Q3 2026</x:t>
        </x:is>
      </x:c>
      <x:c r="D133" t="inlineStr">
        <x:is>
          <x:t xml:space="preserve">Kenya</x:t>
        </x:is>
      </x:c>
      <x:c r="E133" t="inlineStr">
        <x:is>
          <x:t xml:space="preserve">Middle East &amp; Africa</x:t>
        </x:is>
      </x:c>
      <x:c r="F133" t="inlineStr">
        <x:is>
          <x:t xml:space="preserve">Corporate Affairs</x:t>
        </x:is>
      </x:c>
      <x:c r="G133" t="inlineStr">
        <x:is>
          <x:t xml:space="preserve">Professional services</x:t>
        </x:is>
      </x:c>
      <x:c r="H133" t="inlineStr">
        <x:is>
          <x:t xml:space="preserve">Technology vendor</x:t>
        </x:is>
      </x:c>
      <x:c r="I133" t="inlineStr">
        <x:is>
          <x:t xml:space="preserve">Halcyon Workflow Inc</x:t>
        </x:is>
      </x:c>
      <x:c r="J133" t="inlineStr">
        <x:is>
          <x:t xml:space="preserve">Data use / model training</x:t>
        </x:is>
      </x:c>
      <x:c r="K133" t="inlineStr">
        <x:is>
          <x:t xml:space="preserve">Major</x:t>
        </x:is>
      </x:c>
      <x:c r="L133" t="inlineStr">
        <x:is>
          <x:t xml:space="preserve">Personal data - employee</x:t>
        </x:is>
      </x:c>
      <x:c r="M133" t="inlineStr">
        <x:is>
          <x:t xml:space="preserve">AI-enabled feature</x:t>
        </x:is>
      </x:c>
      <x:c r="N133" t="inlineStr">
        <x:is>
          <x:t xml:space="preserve">Single market</x:t>
        </x:is>
      </x:c>
      <x:c r="O133" t="n">
        <x:v>3</x:v>
      </x:c>
      <x:c r="P133" t="n">
        <x:v>3</x:v>
      </x:c>
      <x:c r="Q133" t="n">
        <x:v>9</x:v>
      </x:c>
      <x:c r="R133" t="inlineStr">
        <x:is>
          <x:t xml:space="preserve">Medium</x:t>
        </x:is>
      </x:c>
      <x:c r="S133" t="inlineStr">
        <x:is>
          <x:t xml:space="preserve">AI Governance Panel</x:t>
        </x:is>
      </x:c>
      <x:c r="T133" s="9" t="n">
        <x:v>46331</x:v>
      </x:c>
      <x:c r="U133" t="inlineStr">
        <x:is>
          <x:t xml:space="preserve">In review</x:t>
        </x:is>
      </x:c>
      <x:c r="V133" t="inlineStr">
        <x:is>
          <x:t xml:space="preserve">No</x:t>
        </x:is>
      </x:c>
      <x:c r="W133" t="n">
        <x:v>28</x:v>
      </x:c>
      <x:c r="X133" t="inlineStr">
        <x:is>
          <x:t xml:space="preserve">Synthetic - CIE training only</x:t>
        </x:is>
      </x:c>
    </x:row>
    <x:row r="134">
      <x:c r="A134" t="inlineStr">
        <x:is>
          <x:t xml:space="preserve">LGL-26-0129</x:t>
        </x:is>
      </x:c>
      <x:c r="B134" s="9" t="n">
        <x:v>46218</x:v>
      </x:c>
      <x:c r="C134" t="inlineStr">
        <x:is>
          <x:t xml:space="preserve">Q3 2026</x:t>
        </x:is>
      </x:c>
      <x:c r="D134" t="inlineStr">
        <x:is>
          <x:t xml:space="preserve">Indonesia</x:t>
        </x:is>
      </x:c>
      <x:c r="E134" t="inlineStr">
        <x:is>
          <x:t xml:space="preserve">Asia-Pacific</x:t>
        </x:is>
      </x:c>
      <x:c r="F134" t="inlineStr">
        <x:is>
          <x:t xml:space="preserve">Finance</x:t>
        </x:is>
      </x:c>
      <x:c r="G134" t="inlineStr">
        <x:is>
          <x:t xml:space="preserve">AI use request (internal)</x:t>
        </x:is>
      </x:c>
      <x:c r="H134" t="inlineStr">
        <x:is>
          <x:t xml:space="preserve">Internal (no counterparty)</x:t>
        </x:is>
      </x:c>
      <x:c r="I134" t="inlineStr">
        <x:is>
          <x:t xml:space="preserve">Internal request</x:t>
        </x:is>
      </x:c>
      <x:c r="J134" t="inlineStr">
        <x:is>
          <x:t xml:space="preserve">Data use / model training</x:t>
        </x:is>
      </x:c>
      <x:c r="K134" t="inlineStr">
        <x:is>
          <x:t xml:space="preserve">Major</x:t>
        </x:is>
      </x:c>
      <x:c r="L134" t="inlineStr">
        <x:is>
          <x:t xml:space="preserve">Business confidential</x:t>
        </x:is>
      </x:c>
      <x:c r="M134" t="inlineStr">
        <x:is>
          <x:t xml:space="preserve">Automated decision support</x:t>
        </x:is>
      </x:c>
      <x:c r="N134" t="inlineStr">
        <x:is>
          <x:t xml:space="preserve">Emerging AI regulation - counsel to assess</x:t>
        </x:is>
      </x:c>
      <x:c r="O134" t="n">
        <x:v>2</x:v>
      </x:c>
      <x:c r="P134" t="n">
        <x:v>3</x:v>
      </x:c>
      <x:c r="Q134" t="n">
        <x:v>6</x:v>
      </x:c>
      <x:c r="R134" t="inlineStr">
        <x:is>
          <x:t xml:space="preserve">Medium</x:t>
        </x:is>
      </x:c>
      <x:c r="S134" t="inlineStr">
        <x:is>
          <x:t xml:space="preserve">AI Governance Panel</x:t>
        </x:is>
      </x:c>
      <x:c r="T134" s="9" t="n">
        <x:v>46313</x:v>
      </x:c>
      <x:c r="U134" t="inlineStr">
        <x:is>
          <x:t xml:space="preserve">New</x:t>
        </x:is>
      </x:c>
      <x:c r="V134" t="inlineStr">
        <x:is>
          <x:t xml:space="preserve">No</x:t>
        </x:is>
      </x:c>
      <x:c r="W134" t="n">
        <x:v>93</x:v>
      </x:c>
      <x:c r="X134" t="inlineStr">
        <x:is>
          <x:t xml:space="preserve">Synthetic - CIE training only</x:t>
        </x:is>
      </x:c>
    </x:row>
    <x:row r="135">
      <x:c r="A135" t="inlineStr">
        <x:is>
          <x:t xml:space="preserve">LGL-26-0130</x:t>
        </x:is>
      </x:c>
      <x:c r="B135" s="9" t="n">
        <x:v>46235</x:v>
      </x:c>
      <x:c r="C135" t="inlineStr">
        <x:is>
          <x:t xml:space="preserve">Q3 2026</x:t>
        </x:is>
      </x:c>
      <x:c r="D135" t="inlineStr">
        <x:is>
          <x:t xml:space="preserve">Kenya</x:t>
        </x:is>
      </x:c>
      <x:c r="E135" t="inlineStr">
        <x:is>
          <x:t xml:space="preserve">Middle East &amp; Africa</x:t>
        </x:is>
      </x:c>
      <x:c r="F135" t="inlineStr">
        <x:is>
          <x:t xml:space="preserve">Marketing</x:t>
        </x:is>
      </x:c>
      <x:c r="G135" t="inlineStr">
        <x:is>
          <x:t xml:space="preserve">AI use request (internal)</x:t>
        </x:is>
      </x:c>
      <x:c r="H135" t="inlineStr">
        <x:is>
          <x:t xml:space="preserve">AI/analytics vendor</x:t>
        </x:is>
      </x:c>
      <x:c r="I135" t="inlineStr">
        <x:is>
          <x:t xml:space="preserve">Quillon AI GmbH</x:t>
        </x:is>
      </x:c>
      <x:c r="J135" t="inlineStr">
        <x:is>
          <x:t xml:space="preserve">Data use / model training</x:t>
        </x:is>
      </x:c>
      <x:c r="K135" t="inlineStr">
        <x:is>
          <x:t xml:space="preserve">None</x:t>
        </x:is>
      </x:c>
      <x:c r="L135" t="inlineStr">
        <x:is>
          <x:t xml:space="preserve">Business confidential</x:t>
        </x:is>
      </x:c>
      <x:c r="M135" t="inlineStr">
        <x:is>
          <x:t xml:space="preserve">AI-enabled feature</x:t>
        </x:is>
      </x:c>
      <x:c r="N135" t="inlineStr">
        <x:is>
          <x:t xml:space="preserve">Emerging AI regulation - counsel to assess</x:t>
        </x:is>
      </x:c>
      <x:c r="O135" t="n">
        <x:v>1</x:v>
      </x:c>
      <x:c r="P135" t="n">
        <x:v>2</x:v>
      </x:c>
      <x:c r="Q135" t="n">
        <x:v>2</x:v>
      </x:c>
      <x:c r="R135" t="inlineStr">
        <x:is>
          <x:t xml:space="preserve">Low</x:t>
        </x:is>
      </x:c>
      <x:c r="S135" t="inlineStr">
        <x:is>
          <x:t xml:space="preserve">AI Governance Panel</x:t>
        </x:is>
      </x:c>
      <x:c r="T135" s="9" t="n">
        <x:v>46321</x:v>
      </x:c>
      <x:c r="U135" t="inlineStr">
        <x:is>
          <x:t xml:space="preserve">In review</x:t>
        </x:is>
      </x:c>
      <x:c r="V135" t="inlineStr">
        <x:is>
          <x:t xml:space="preserve">No</x:t>
        </x:is>
      </x:c>
      <x:c r="W135" t="n">
        <x:v>76</x:v>
      </x:c>
      <x:c r="X135" t="inlineStr">
        <x:is>
          <x:t xml:space="preserve">Synthetic - CIE training only</x:t>
        </x:is>
      </x:c>
    </x:row>
    <x:row r="136">
      <x:c r="A136" t="inlineStr">
        <x:is>
          <x:t xml:space="preserve">LGL-26-0131</x:t>
        </x:is>
      </x:c>
      <x:c r="B136" s="9" t="n">
        <x:v>46269</x:v>
      </x:c>
      <x:c r="C136" t="inlineStr">
        <x:is>
          <x:t xml:space="preserve">Q3 2026</x:t>
        </x:is>
      </x:c>
      <x:c r="D136" t="inlineStr">
        <x:is>
          <x:t xml:space="preserve">Japan</x:t>
        </x:is>
      </x:c>
      <x:c r="E136" t="inlineStr">
        <x:is>
          <x:t xml:space="preserve">Asia-Pacific</x:t>
        </x:is>
      </x:c>
      <x:c r="F136" t="inlineStr">
        <x:is>
          <x:t xml:space="preserve">Corporate Affairs</x:t>
        </x:is>
      </x:c>
      <x:c r="G136" t="inlineStr">
        <x:is>
          <x:t xml:space="preserve">Professional services</x:t>
        </x:is>
      </x:c>
      <x:c r="H136" t="inlineStr">
        <x:is>
          <x:t xml:space="preserve">Technology vendor</x:t>
        </x:is>
      </x:c>
      <x:c r="I136" t="inlineStr">
        <x:is>
          <x:t xml:space="preserve">Halcyon Workflow Inc</x:t>
        </x:is>
      </x:c>
      <x:c r="J136" t="inlineStr">
        <x:is>
          <x:t xml:space="preserve">Audit rights</x:t>
        </x:is>
      </x:c>
      <x:c r="K136" t="inlineStr">
        <x:is>
          <x:t xml:space="preserve">None</x:t>
        </x:is>
      </x:c>
      <x:c r="L136" t="inlineStr">
        <x:is>
          <x:t xml:space="preserve">Business confidential</x:t>
        </x:is>
      </x:c>
      <x:c r="M136" t="inlineStr">
        <x:is>
          <x:t xml:space="preserve">None</x:t>
        </x:is>
      </x:c>
      <x:c r="N136" t="inlineStr">
        <x:is>
          <x:t xml:space="preserve">Single market</x:t>
        </x:is>
      </x:c>
      <x:c r="O136" t="n">
        <x:v>1</x:v>
      </x:c>
      <x:c r="P136" t="n">
        <x:v>2</x:v>
      </x:c>
      <x:c r="Q136" t="n">
        <x:v>2</x:v>
      </x:c>
      <x:c r="R136" t="inlineStr">
        <x:is>
          <x:t xml:space="preserve">Low</x:t>
        </x:is>
      </x:c>
      <x:c r="S136" t="inlineStr">
        <x:is>
          <x:t xml:space="preserve">Digital &amp; Data Legal</x:t>
        </x:is>
      </x:c>
      <x:c r="T136" s="9" t="n">
        <x:v>46292</x:v>
      </x:c>
      <x:c r="U136" t="inlineStr">
        <x:is>
          <x:t xml:space="preserve">Closed</x:t>
        </x:is>
      </x:c>
      <x:c r="V136" t="inlineStr">
        <x:is>
          <x:t xml:space="preserve">No</x:t>
        </x:is>
      </x:c>
      <x:c r="W136" t="n">
        <x:v>8</x:v>
      </x:c>
      <x:c r="X136" t="inlineStr">
        <x:is>
          <x:t xml:space="preserve">Synthetic - CIE training only</x:t>
        </x:is>
      </x:c>
    </x:row>
    <x:row r="137">
      <x:c r="A137" t="inlineStr">
        <x:is>
          <x:t xml:space="preserve">LGL-26-0132</x:t>
        </x:is>
      </x:c>
      <x:c r="B137" s="9" t="n">
        <x:v>46218</x:v>
      </x:c>
      <x:c r="C137" t="inlineStr">
        <x:is>
          <x:t xml:space="preserve">Q3 2026</x:t>
        </x:is>
      </x:c>
      <x:c r="D137" t="inlineStr">
        <x:is>
          <x:t xml:space="preserve">Japan</x:t>
        </x:is>
      </x:c>
      <x:c r="E137" t="inlineStr">
        <x:is>
          <x:t xml:space="preserve">Asia-Pacific</x:t>
        </x:is>
      </x:c>
      <x:c r="F137" t="inlineStr">
        <x:is>
          <x:t xml:space="preserve">Finance</x:t>
        </x:is>
      </x:c>
      <x:c r="G137" t="inlineStr">
        <x:is>
          <x:t xml:space="preserve">NDA</x:t>
        </x:is>
      </x:c>
      <x:c r="H137" t="inlineStr">
        <x:is>
          <x:t xml:space="preserve">Distributor</x:t>
        </x:is>
      </x:c>
      <x:c r="I137" t="inlineStr">
        <x:is>
          <x:t xml:space="preserve">Granite Coast Distribution</x:t>
        </x:is>
      </x:c>
      <x:c r="J137" t="inlineStr">
        <x:is>
          <x:t xml:space="preserve">Confidentiality</x:t>
        </x:is>
      </x:c>
      <x:c r="K137" t="inlineStr">
        <x:is>
          <x:t xml:space="preserve">None</x:t>
        </x:is>
      </x:c>
      <x:c r="L137" t="inlineStr">
        <x:is>
          <x:t xml:space="preserve">Business confidential</x:t>
        </x:is>
      </x:c>
      <x:c r="M137" t="inlineStr">
        <x:is>
          <x:t xml:space="preserve">None</x:t>
        </x:is>
      </x:c>
      <x:c r="N137" t="inlineStr">
        <x:is>
          <x:t xml:space="preserve">Single market</x:t>
        </x:is>
      </x:c>
      <x:c r="O137" t="n">
        <x:v>1</x:v>
      </x:c>
      <x:c r="P137" t="n">
        <x:v>2</x:v>
      </x:c>
      <x:c r="Q137" t="n">
        <x:v>2</x:v>
      </x:c>
      <x:c r="R137" t="inlineStr">
        <x:is>
          <x:t xml:space="preserve">Low</x:t>
        </x:is>
      </x:c>
      <x:c r="S137" t="inlineStr">
        <x:is>
          <x:t xml:space="preserve">Commercial Legal</x:t>
        </x:is>
      </x:c>
      <x:c r="T137" s="9" t="n">
        <x:v>46240</x:v>
      </x:c>
      <x:c r="U137" t="inlineStr">
        <x:is>
          <x:t xml:space="preserve">Closed</x:t>
        </x:is>
      </x:c>
      <x:c r="V137" t="inlineStr">
        <x:is>
          <x:t xml:space="preserve">No</x:t>
        </x:is>
      </x:c>
      <x:c r="W137" t="n">
        <x:v>4</x:v>
      </x:c>
      <x:c r="X137" t="inlineStr">
        <x:is>
          <x:t xml:space="preserve">Synthetic - CIE training only</x:t>
        </x:is>
      </x:c>
    </x:row>
    <x:row r="138">
      <x:c r="A138" t="inlineStr">
        <x:is>
          <x:t xml:space="preserve">LGL-26-0133</x:t>
        </x:is>
      </x:c>
      <x:c r="B138" s="9" t="n">
        <x:v>46262</x:v>
      </x:c>
      <x:c r="C138" t="inlineStr">
        <x:is>
          <x:t xml:space="preserve">Q3 2026</x:t>
        </x:is>
      </x:c>
      <x:c r="D138" t="inlineStr">
        <x:is>
          <x:t xml:space="preserve">Brazil</x:t>
        </x:is>
      </x:c>
      <x:c r="E138" t="inlineStr">
        <x:is>
          <x:t xml:space="preserve">Americas</x:t>
        </x:is>
      </x:c>
      <x:c r="F138" t="inlineStr">
        <x:is>
          <x:t xml:space="preserve">Corporate Affairs</x:t>
        </x:is>
      </x:c>
      <x:c r="G138" t="inlineStr">
        <x:is>
          <x:t xml:space="preserve">Professional services</x:t>
        </x:is>
      </x:c>
      <x:c r="H138" t="inlineStr">
        <x:is>
          <x:t xml:space="preserve">Agency</x:t>
        </x:is>
      </x:c>
      <x:c r="I138" t="inlineStr">
        <x:is>
          <x:t xml:space="preserve">Lantern &amp; Reed Agency</x:t>
        </x:is>
      </x:c>
      <x:c r="J138" t="inlineStr">
        <x:is>
          <x:t xml:space="preserve">Limitation of liability</x:t>
        </x:is>
      </x:c>
      <x:c r="K138" t="inlineStr">
        <x:is>
          <x:t xml:space="preserve">Minor</x:t>
        </x:is>
      </x:c>
      <x:c r="L138" t="inlineStr">
        <x:is>
          <x:t xml:space="preserve">Personal data - consumer (adult)</x:t>
        </x:is>
      </x:c>
      <x:c r="M138" t="inlineStr">
        <x:is>
          <x:t xml:space="preserve">None</x:t>
        </x:is>
      </x:c>
      <x:c r="N138" t="inlineStr">
        <x:is>
          <x:t xml:space="preserve">Single market</x:t>
        </x:is>
      </x:c>
      <x:c r="O138" t="n">
        <x:v>3</x:v>
      </x:c>
      <x:c r="P138" t="n">
        <x:v>3</x:v>
      </x:c>
      <x:c r="Q138" t="n">
        <x:v>9</x:v>
      </x:c>
      <x:c r="R138" t="inlineStr">
        <x:is>
          <x:t xml:space="preserve">Medium</x:t>
        </x:is>
      </x:c>
      <x:c r="S138" t="inlineStr">
        <x:is>
          <x:t xml:space="preserve">Commercial Legal</x:t>
        </x:is>
      </x:c>
      <x:c r="T138" s="9" t="n">
        <x:v>46318</x:v>
      </x:c>
      <x:c r="U138" t="inlineStr">
        <x:is>
          <x:t xml:space="preserve">In review</x:t>
        </x:is>
      </x:c>
      <x:c r="V138" t="inlineStr">
        <x:is>
          <x:t xml:space="preserve">No</x:t>
        </x:is>
      </x:c>
      <x:c r="W138" t="n">
        <x:v>49</x:v>
      </x:c>
      <x:c r="X138" t="inlineStr">
        <x:is>
          <x:t xml:space="preserve">Synthetic - CIE training only</x:t>
        </x:is>
      </x:c>
    </x:row>
    <x:row r="139">
      <x:c r="A139" t="inlineStr">
        <x:is>
          <x:t xml:space="preserve">LGL-26-0134</x:t>
        </x:is>
      </x:c>
      <x:c r="B139" s="9" t="n">
        <x:v>46228</x:v>
      </x:c>
      <x:c r="C139" t="inlineStr">
        <x:is>
          <x:t xml:space="preserve">Q3 2026</x:t>
        </x:is>
      </x:c>
      <x:c r="D139" t="inlineStr">
        <x:is>
          <x:t xml:space="preserve">Poland</x:t>
        </x:is>
      </x:c>
      <x:c r="E139" t="inlineStr">
        <x:is>
          <x:t xml:space="preserve">Europe</x:t>
        </x:is>
      </x:c>
      <x:c r="F139" t="inlineStr">
        <x:is>
          <x:t xml:space="preserve">HR</x:t>
        </x:is>
      </x:c>
      <x:c r="G139" t="inlineStr">
        <x:is>
          <x:t xml:space="preserve">AI use request (internal)</x:t>
        </x:is>
      </x:c>
      <x:c r="H139" t="inlineStr">
        <x:is>
          <x:t xml:space="preserve">Internal (no counterparty)</x:t>
        </x:is>
      </x:c>
      <x:c r="I139" t="inlineStr">
        <x:is>
          <x:t xml:space="preserve">Internal request</x:t>
        </x:is>
      </x:c>
      <x:c r="J139" t="inlineStr">
        <x:is>
          <x:t xml:space="preserve">Data use / model training</x:t>
        </x:is>
      </x:c>
      <x:c r="K139" t="inlineStr">
        <x:is>
          <x:t xml:space="preserve">Major</x:t>
        </x:is>
      </x:c>
      <x:c r="L139" t="inlineStr">
        <x:is>
          <x:t xml:space="preserve">Personal data - employee</x:t>
        </x:is>
      </x:c>
      <x:c r="M139" t="inlineStr">
        <x:is>
          <x:t xml:space="preserve">Generative AI output</x:t>
        </x:is>
      </x:c>
      <x:c r="N139" t="inlineStr">
        <x:is>
          <x:t xml:space="preserve">Emerging AI regulation - counsel to assess</x:t>
        </x:is>
      </x:c>
      <x:c r="O139" t="n">
        <x:v>2</x:v>
      </x:c>
      <x:c r="P139" t="n">
        <x:v>4</x:v>
      </x:c>
      <x:c r="Q139" t="n">
        <x:v>8</x:v>
      </x:c>
      <x:c r="R139" t="inlineStr">
        <x:is>
          <x:t xml:space="preserve">Medium</x:t>
        </x:is>
      </x:c>
      <x:c r="S139" t="inlineStr">
        <x:is>
          <x:t xml:space="preserve">AI Governance Panel</x:t>
        </x:is>
      </x:c>
      <x:c r="T139" s="9" t="n">
        <x:v>46327</x:v>
      </x:c>
      <x:c r="U139" t="inlineStr">
        <x:is>
          <x:t xml:space="preserve">In review</x:t>
        </x:is>
      </x:c>
      <x:c r="V139" t="inlineStr">
        <x:is>
          <x:t xml:space="preserve">No</x:t>
        </x:is>
      </x:c>
      <x:c r="W139" t="n">
        <x:v>83</x:v>
      </x:c>
      <x:c r="X139" t="inlineStr">
        <x:is>
          <x:t xml:space="preserve">Synthetic - CIE training only</x:t>
        </x:is>
      </x:c>
    </x:row>
    <x:row r="140">
      <x:c r="A140" t="inlineStr">
        <x:is>
          <x:t xml:space="preserve">LGL-26-0135</x:t>
        </x:is>
      </x:c>
      <x:c r="B140" s="9" t="n">
        <x:v>46204</x:v>
      </x:c>
      <x:c r="C140" t="inlineStr">
        <x:is>
          <x:t xml:space="preserve">Q3 2026</x:t>
        </x:is>
      </x:c>
      <x:c r="D140" t="inlineStr">
        <x:is>
          <x:t xml:space="preserve">Romania</x:t>
        </x:is>
      </x:c>
      <x:c r="E140" t="inlineStr">
        <x:is>
          <x:t xml:space="preserve">Europe</x:t>
        </x:is>
      </x:c>
      <x:c r="F140" t="inlineStr">
        <x:is>
          <x:t xml:space="preserve">Operations</x:t>
        </x:is>
      </x:c>
      <x:c r="G140" t="inlineStr">
        <x:is>
          <x:t xml:space="preserve">NDA</x:t>
        </x:is>
      </x:c>
      <x:c r="H140" t="inlineStr">
        <x:is>
          <x:t xml:space="preserve">Distributor</x:t>
        </x:is>
      </x:c>
      <x:c r="I140" t="inlineStr">
        <x:is>
          <x:t xml:space="preserve">Tidewater Logistics Co</x:t>
        </x:is>
      </x:c>
      <x:c r="J140" t="inlineStr">
        <x:is>
          <x:t xml:space="preserve">Termination</x:t>
        </x:is>
      </x:c>
      <x:c r="K140" t="inlineStr">
        <x:is>
          <x:t xml:space="preserve">Minor</x:t>
        </x:is>
      </x:c>
      <x:c r="L140" t="inlineStr">
        <x:is>
          <x:t xml:space="preserve">Personal data - employee</x:t>
        </x:is>
      </x:c>
      <x:c r="M140" t="inlineStr">
        <x:is>
          <x:t xml:space="preserve">None</x:t>
        </x:is>
      </x:c>
      <x:c r="N140" t="inlineStr">
        <x:is>
          <x:t xml:space="preserve">Single market</x:t>
        </x:is>
      </x:c>
      <x:c r="O140" t="n">
        <x:v>1</x:v>
      </x:c>
      <x:c r="P140" t="n">
        <x:v>3</x:v>
      </x:c>
      <x:c r="Q140" t="n">
        <x:v>3</x:v>
      </x:c>
      <x:c r="R140" t="inlineStr">
        <x:is>
          <x:t xml:space="preserve">Low</x:t>
        </x:is>
      </x:c>
      <x:c r="S140" t="inlineStr">
        <x:is>
          <x:t xml:space="preserve">Commercial Legal</x:t>
        </x:is>
      </x:c>
      <x:c r="T140" s="9" t="n">
        <x:v>46228</x:v>
      </x:c>
      <x:c r="U140" t="inlineStr">
        <x:is>
          <x:t xml:space="preserve">Closed</x:t>
        </x:is>
      </x:c>
      <x:c r="V140" t="inlineStr">
        <x:is>
          <x:t xml:space="preserve">No</x:t>
        </x:is>
      </x:c>
      <x:c r="W140" t="n">
        <x:v>17</x:v>
      </x:c>
      <x:c r="X140" t="inlineStr">
        <x:is>
          <x:t xml:space="preserve">Synthetic - CIE training only</x:t>
        </x:is>
      </x:c>
    </x:row>
    <x:row r="141">
      <x:c r="A141" t="inlineStr">
        <x:is>
          <x:t xml:space="preserve">LGL-26-0136</x:t>
        </x:is>
      </x:c>
      <x:c r="B141" s="9" t="n">
        <x:v>46272</x:v>
      </x:c>
      <x:c r="C141" t="inlineStr">
        <x:is>
          <x:t xml:space="preserve">Q3 2026</x:t>
        </x:is>
      </x:c>
      <x:c r="D141" t="inlineStr">
        <x:is>
          <x:t xml:space="preserve">Indonesia</x:t>
        </x:is>
      </x:c>
      <x:c r="E141" t="inlineStr">
        <x:is>
          <x:t xml:space="preserve">Asia-Pacific</x:t>
        </x:is>
      </x:c>
      <x:c r="F141" t="inlineStr">
        <x:is>
          <x:t xml:space="preserve">Corporate Affairs</x:t>
        </x:is>
      </x:c>
      <x:c r="G141" t="inlineStr">
        <x:is>
          <x:t xml:space="preserve">Data sharing agreement</x:t>
        </x:is>
      </x:c>
      <x:c r="H141" t="inlineStr">
        <x:is>
          <x:t xml:space="preserve">AI/analytics vendor</x:t>
        </x:is>
      </x:c>
      <x:c r="I141" t="inlineStr">
        <x:is>
          <x:t xml:space="preserve">Lumora Analytics Ltd</x:t>
        </x:is>
      </x:c>
      <x:c r="J141" t="inlineStr">
        <x:is>
          <x:t xml:space="preserve">Data use / model training</x:t>
        </x:is>
      </x:c>
      <x:c r="K141" t="inlineStr">
        <x:is>
          <x:t xml:space="preserve">Major</x:t>
        </x:is>
      </x:c>
      <x:c r="L141" t="inlineStr">
        <x:is>
          <x:t xml:space="preserve">Business confidential</x:t>
        </x:is>
      </x:c>
      <x:c r="M141" t="inlineStr">
        <x:is>
          <x:t xml:space="preserve">Generative AI output</x:t>
        </x:is>
      </x:c>
      <x:c r="N141" t="inlineStr">
        <x:is>
          <x:t xml:space="preserve">Emerging AI regulation - counsel to assess</x:t>
        </x:is>
      </x:c>
      <x:c r="O141" t="n">
        <x:v>3</x:v>
      </x:c>
      <x:c r="P141" t="n">
        <x:v>1</x:v>
      </x:c>
      <x:c r="Q141" t="n">
        <x:v>3</x:v>
      </x:c>
      <x:c r="R141" t="inlineStr">
        <x:is>
          <x:t xml:space="preserve">Low</x:t>
        </x:is>
      </x:c>
      <x:c r="S141" t="inlineStr">
        <x:is>
          <x:t xml:space="preserve">AI Governance Panel</x:t>
        </x:is>
      </x:c>
      <x:c r="T141" s="9" t="n">
        <x:v>46297</x:v>
      </x:c>
      <x:c r="U141" t="inlineStr">
        <x:is>
          <x:t xml:space="preserve">Closed</x:t>
        </x:is>
      </x:c>
      <x:c r="V141" t="inlineStr">
        <x:is>
          <x:t xml:space="preserve">No</x:t>
        </x:is>
      </x:c>
      <x:c r="W141" t="n">
        <x:v>29</x:v>
      </x:c>
      <x:c r="X141" t="inlineStr">
        <x:is>
          <x:t xml:space="preserve">Synthetic - CIE training only</x:t>
        </x:is>
      </x:c>
    </x:row>
    <x:row r="142">
      <x:c r="A142" t="inlineStr">
        <x:is>
          <x:t xml:space="preserve">LGL-26-0137</x:t>
        </x:is>
      </x:c>
      <x:c r="B142" s="9" t="n">
        <x:v>46280</x:v>
      </x:c>
      <x:c r="C142" t="inlineStr">
        <x:is>
          <x:t xml:space="preserve">Q3 2026</x:t>
        </x:is>
      </x:c>
      <x:c r="D142" t="inlineStr">
        <x:is>
          <x:t xml:space="preserve">Brazil</x:t>
        </x:is>
      </x:c>
      <x:c r="E142" t="inlineStr">
        <x:is>
          <x:t xml:space="preserve">Americas</x:t>
        </x:is>
      </x:c>
      <x:c r="F142" t="inlineStr">
        <x:is>
          <x:t xml:space="preserve">Corporate Affairs</x:t>
        </x:is>
      </x:c>
      <x:c r="G142" t="inlineStr">
        <x:is>
          <x:t xml:space="preserve">AI use request (internal)</x:t>
        </x:is>
      </x:c>
      <x:c r="H142" t="inlineStr">
        <x:is>
          <x:t xml:space="preserve">AI/analytics vendor</x:t>
        </x:is>
      </x:c>
      <x:c r="I142" t="inlineStr">
        <x:is>
          <x:t xml:space="preserve">Quillon AI GmbH</x:t>
        </x:is>
      </x:c>
      <x:c r="J142" t="inlineStr">
        <x:is>
          <x:t xml:space="preserve">IP in outputs</x:t>
        </x:is>
      </x:c>
      <x:c r="K142" t="inlineStr">
        <x:is>
          <x:t xml:space="preserve">Minor</x:t>
        </x:is>
      </x:c>
      <x:c r="L142" t="inlineStr">
        <x:is>
          <x:t xml:space="preserve">Personal data - consumer (adult)</x:t>
        </x:is>
      </x:c>
      <x:c r="M142" t="inlineStr">
        <x:is>
          <x:t xml:space="preserve">AI-enabled feature</x:t>
        </x:is>
      </x:c>
      <x:c r="N142" t="inlineStr">
        <x:is>
          <x:t xml:space="preserve">Single market</x:t>
        </x:is>
      </x:c>
      <x:c r="O142" t="n">
        <x:v>2</x:v>
      </x:c>
      <x:c r="P142" t="n">
        <x:v>3</x:v>
      </x:c>
      <x:c r="Q142" t="n">
        <x:v>6</x:v>
      </x:c>
      <x:c r="R142" t="inlineStr">
        <x:is>
          <x:t xml:space="preserve">Medium</x:t>
        </x:is>
      </x:c>
      <x:c r="S142" t="inlineStr">
        <x:is>
          <x:t xml:space="preserve">Digital &amp; Data Legal</x:t>
        </x:is>
      </x:c>
      <x:c r="T142" s="9" t="n">
        <x:v>46299</x:v>
      </x:c>
      <x:c r="U142" t="inlineStr">
        <x:is>
          <x:t xml:space="preserve">Closed</x:t>
        </x:is>
      </x:c>
      <x:c r="V142" t="inlineStr">
        <x:is>
          <x:t xml:space="preserve">No</x:t>
        </x:is>
      </x:c>
      <x:c r="W142" t="n">
        <x:v>4</x:v>
      </x:c>
      <x:c r="X142" t="inlineStr">
        <x:is>
          <x:t xml:space="preserve">Synthetic - CIE training only</x:t>
        </x:is>
      </x:c>
    </x:row>
    <x:row r="143">
      <x:c r="A143" t="inlineStr">
        <x:is>
          <x:t xml:space="preserve">LGL-26-0138</x:t>
        </x:is>
      </x:c>
      <x:c r="B143" s="9" t="n">
        <x:v>46255</x:v>
      </x:c>
      <x:c r="C143" t="inlineStr">
        <x:is>
          <x:t xml:space="preserve">Q3 2026</x:t>
        </x:is>
      </x:c>
      <x:c r="D143" t="inlineStr">
        <x:is>
          <x:t xml:space="preserve">Mexico</x:t>
        </x:is>
      </x:c>
      <x:c r="E143" t="inlineStr">
        <x:is>
          <x:t xml:space="preserve">Americas</x:t>
        </x:is>
      </x:c>
      <x:c r="F143" t="inlineStr">
        <x:is>
          <x:t xml:space="preserve">Operations</x:t>
        </x:is>
      </x:c>
      <x:c r="G143" t="inlineStr">
        <x:is>
          <x:t xml:space="preserve">NDA</x:t>
        </x:is>
      </x:c>
      <x:c r="H143" t="inlineStr">
        <x:is>
          <x:t xml:space="preserve">Consultancy</x:t>
        </x:is>
      </x:c>
      <x:c r="I143" t="inlineStr">
        <x:is>
          <x:t xml:space="preserve">Meridian Ridge Advisory</x:t>
        </x:is>
      </x:c>
      <x:c r="J143" t="inlineStr">
        <x:is>
          <x:t xml:space="preserve">Confidentiality</x:t>
        </x:is>
      </x:c>
      <x:c r="K143" t="inlineStr">
        <x:is>
          <x:t xml:space="preserve">Major</x:t>
        </x:is>
      </x:c>
      <x:c r="L143" t="inlineStr">
        <x:is>
          <x:t xml:space="preserve">None / public</x:t>
        </x:is>
      </x:c>
      <x:c r="M143" t="inlineStr">
        <x:is>
          <x:t xml:space="preserve">None</x:t>
        </x:is>
      </x:c>
      <x:c r="N143" t="inlineStr">
        <x:is>
          <x:t xml:space="preserve">Single market</x:t>
        </x:is>
      </x:c>
      <x:c r="O143" t="n">
        <x:v>3</x:v>
      </x:c>
      <x:c r="P143" t="n">
        <x:v>3</x:v>
      </x:c>
      <x:c r="Q143" t="n">
        <x:v>9</x:v>
      </x:c>
      <x:c r="R143" t="inlineStr">
        <x:is>
          <x:t xml:space="preserve">Medium</x:t>
        </x:is>
      </x:c>
      <x:c r="S143" t="inlineStr">
        <x:is>
          <x:t xml:space="preserve">Commercial Legal</x:t>
        </x:is>
      </x:c>
      <x:c r="T143" s="9" t="n">
        <x:v>46319</x:v>
      </x:c>
      <x:c r="U143" t="inlineStr">
        <x:is>
          <x:t xml:space="preserve">In triage</x:t>
        </x:is>
      </x:c>
      <x:c r="V143" t="inlineStr">
        <x:is>
          <x:t xml:space="preserve">No</x:t>
        </x:is>
      </x:c>
      <x:c r="W143" t="n">
        <x:v>56</x:v>
      </x:c>
      <x:c r="X143" t="inlineStr">
        <x:is>
          <x:t xml:space="preserve">Synthetic - CIE training only</x:t>
        </x:is>
      </x:c>
    </x:row>
    <x:row r="144">
      <x:c r="A144" t="inlineStr">
        <x:is>
          <x:t xml:space="preserve">LGL-26-0139</x:t>
        </x:is>
      </x:c>
      <x:c r="B144" s="9" t="n">
        <x:v>46241</x:v>
      </x:c>
      <x:c r="C144" t="inlineStr">
        <x:is>
          <x:t xml:space="preserve">Q3 2026</x:t>
        </x:is>
      </x:c>
      <x:c r="D144" t="inlineStr">
        <x:is>
          <x:t xml:space="preserve">United Kingdom</x:t>
        </x:is>
      </x:c>
      <x:c r="E144" t="inlineStr">
        <x:is>
          <x:t xml:space="preserve">Europe</x:t>
        </x:is>
      </x:c>
      <x:c r="F144" t="inlineStr">
        <x:is>
          <x:t xml:space="preserve">HR</x:t>
        </x:is>
      </x:c>
      <x:c r="G144" t="inlineStr">
        <x:is>
          <x:t xml:space="preserve">Professional services</x:t>
        </x:is>
      </x:c>
      <x:c r="H144" t="inlineStr">
        <x:is>
          <x:t xml:space="preserve">Agency</x:t>
        </x:is>
      </x:c>
      <x:c r="I144" t="inlineStr">
        <x:is>
          <x:t xml:space="preserve">Corvid Creative Partners</x:t>
        </x:is>
      </x:c>
      <x:c r="J144" t="inlineStr">
        <x:is>
          <x:t xml:space="preserve">Sub-processors</x:t>
        </x:is>
      </x:c>
      <x:c r="K144" t="inlineStr">
        <x:is>
          <x:t xml:space="preserve">None</x:t>
        </x:is>
      </x:c>
      <x:c r="L144" t="inlineStr">
        <x:is>
          <x:t xml:space="preserve">Business confidential</x:t>
        </x:is>
      </x:c>
      <x:c r="M144" t="inlineStr">
        <x:is>
          <x:t xml:space="preserve">None</x:t>
        </x:is>
      </x:c>
      <x:c r="N144" t="inlineStr">
        <x:is>
          <x:t xml:space="preserve">Single market</x:t>
        </x:is>
      </x:c>
      <x:c r="O144" t="n">
        <x:v>1</x:v>
      </x:c>
      <x:c r="P144" t="n">
        <x:v>2</x:v>
      </x:c>
      <x:c r="Q144" t="n">
        <x:v>2</x:v>
      </x:c>
      <x:c r="R144" t="inlineStr">
        <x:is>
          <x:t xml:space="preserve">Low</x:t>
        </x:is>
      </x:c>
      <x:c r="S144" t="inlineStr">
        <x:is>
          <x:t xml:space="preserve">Privacy Office</x:t>
        </x:is>
      </x:c>
      <x:c r="T144" s="9" t="n">
        <x:v>46312</x:v>
      </x:c>
      <x:c r="U144" t="inlineStr">
        <x:is>
          <x:t xml:space="preserve">Escalated</x:t>
        </x:is>
      </x:c>
      <x:c r="V144" t="inlineStr">
        <x:is>
          <x:t xml:space="preserve">Yes</x:t>
        </x:is>
      </x:c>
      <x:c r="W144" t="n">
        <x:v>70</x:v>
      </x:c>
      <x:c r="X144" t="inlineStr">
        <x:is>
          <x:t xml:space="preserve">Synthetic - CIE training only</x:t>
        </x:is>
      </x:c>
    </x:row>
    <x:row r="145">
      <x:c r="A145" t="inlineStr">
        <x:is>
          <x:t xml:space="preserve">LGL-26-0140</x:t>
        </x:is>
      </x:c>
      <x:c r="B145" s="9" t="n">
        <x:v>46214</x:v>
      </x:c>
      <x:c r="C145" t="inlineStr">
        <x:is>
          <x:t xml:space="preserve">Q3 2026</x:t>
        </x:is>
      </x:c>
      <x:c r="D145" t="inlineStr">
        <x:is>
          <x:t xml:space="preserve">South Africa</x:t>
        </x:is>
      </x:c>
      <x:c r="E145" t="inlineStr">
        <x:is>
          <x:t xml:space="preserve">Middle East &amp; Africa</x:t>
        </x:is>
      </x:c>
      <x:c r="F145" t="inlineStr">
        <x:is>
          <x:t xml:space="preserve">Procurement</x:t>
        </x:is>
      </x:c>
      <x:c r="G145" t="inlineStr">
        <x:is>
          <x:t xml:space="preserve">Professional services</x:t>
        </x:is>
      </x:c>
      <x:c r="H145" t="inlineStr">
        <x:is>
          <x:t xml:space="preserve">Technology vendor</x:t>
        </x:is>
      </x:c>
      <x:c r="I145" t="inlineStr">
        <x:is>
          <x:t xml:space="preserve">Halcyon Workflow Inc</x:t>
        </x:is>
      </x:c>
      <x:c r="J145" t="inlineStr">
        <x:is>
          <x:t xml:space="preserve">Data use / model training</x:t>
        </x:is>
      </x:c>
      <x:c r="K145" t="inlineStr">
        <x:is>
          <x:t xml:space="preserve">Major</x:t>
        </x:is>
      </x:c>
      <x:c r="L145" t="inlineStr">
        <x:is>
          <x:t xml:space="preserve">Personal data - employee</x:t>
        </x:is>
      </x:c>
      <x:c r="M145" t="inlineStr">
        <x:is>
          <x:t xml:space="preserve">Model training on BAT data</x:t>
        </x:is>
      </x:c>
      <x:c r="N145" t="inlineStr">
        <x:is>
          <x:t xml:space="preserve">Emerging AI regulation - counsel to assess</x:t>
        </x:is>
      </x:c>
      <x:c r="O145" t="n">
        <x:v>4</x:v>
      </x:c>
      <x:c r="P145" t="n">
        <x:v>5</x:v>
      </x:c>
      <x:c r="Q145" t="n">
        <x:v>20</x:v>
      </x:c>
      <x:c r="R145" t="inlineStr">
        <x:is>
          <x:t xml:space="preserve">Critical</x:t>
        </x:is>
      </x:c>
      <x:c r="S145" t="inlineStr">
        <x:is>
          <x:t xml:space="preserve">AI Governance Panel</x:t>
        </x:is>
      </x:c>
      <x:c r="T145" s="9" t="n">
        <x:v>46327</x:v>
      </x:c>
      <x:c r="U145" t="inlineStr">
        <x:is>
          <x:t xml:space="preserve">In review</x:t>
        </x:is>
      </x:c>
      <x:c r="V145" t="inlineStr">
        <x:is>
          <x:t xml:space="preserve">Yes</x:t>
        </x:is>
      </x:c>
      <x:c r="W145" t="n">
        <x:v>97</x:v>
      </x:c>
      <x:c r="X145" t="inlineStr">
        <x:is>
          <x:t xml:space="preserve">Synthetic - CIE training only</x:t>
        </x:is>
      </x:c>
    </x:row>
    <x:row r="146">
      <x:c r="A146" t="inlineStr">
        <x:is>
          <x:t xml:space="preserve">LGL-26-0141</x:t>
        </x:is>
      </x:c>
      <x:c r="B146" s="9" t="n">
        <x:v>46247</x:v>
      </x:c>
      <x:c r="C146" t="inlineStr">
        <x:is>
          <x:t xml:space="preserve">Q3 2026</x:t>
        </x:is>
      </x:c>
      <x:c r="D146" t="inlineStr">
        <x:is>
          <x:t xml:space="preserve">Germany</x:t>
        </x:is>
      </x:c>
      <x:c r="E146" t="inlineStr">
        <x:is>
          <x:t xml:space="preserve">Europe</x:t>
        </x:is>
      </x:c>
      <x:c r="F146" t="inlineStr">
        <x:is>
          <x:t xml:space="preserve">Finance</x:t>
        </x:is>
      </x:c>
      <x:c r="G146" t="inlineStr">
        <x:is>
          <x:t xml:space="preserve">SaaS / Cloud services</x:t>
        </x:is>
      </x:c>
      <x:c r="H146" t="inlineStr">
        <x:is>
          <x:t xml:space="preserve">Technology vendor</x:t>
        </x:is>
      </x:c>
      <x:c r="I146" t="inlineStr">
        <x:is>
          <x:t xml:space="preserve">Pinemark Software Ltd</x:t>
        </x:is>
      </x:c>
      <x:c r="J146" t="inlineStr">
        <x:is>
          <x:t xml:space="preserve">Data use / model training</x:t>
        </x:is>
      </x:c>
      <x:c r="K146" t="inlineStr">
        <x:is>
          <x:t xml:space="preserve">Major</x:t>
        </x:is>
      </x:c>
      <x:c r="L146" t="inlineStr">
        <x:is>
          <x:t xml:space="preserve">Personal data - employee</x:t>
        </x:is>
      </x:c>
      <x:c r="M146" t="inlineStr">
        <x:is>
          <x:t xml:space="preserve">AI-enabled feature</x:t>
        </x:is>
      </x:c>
      <x:c r="N146" t="inlineStr">
        <x:is>
          <x:t xml:space="preserve">Single market</x:t>
        </x:is>
      </x:c>
      <x:c r="O146" t="n">
        <x:v>3</x:v>
      </x:c>
      <x:c r="P146" t="n">
        <x:v>3</x:v>
      </x:c>
      <x:c r="Q146" t="n">
        <x:v>9</x:v>
      </x:c>
      <x:c r="R146" t="inlineStr">
        <x:is>
          <x:t xml:space="preserve">Medium</x:t>
        </x:is>
      </x:c>
      <x:c r="S146" t="inlineStr">
        <x:is>
          <x:t xml:space="preserve">AI Governance Panel</x:t>
        </x:is>
      </x:c>
      <x:c r="T146" s="9" t="n">
        <x:v>46321</x:v>
      </x:c>
      <x:c r="U146" t="inlineStr">
        <x:is>
          <x:t xml:space="preserve">In review</x:t>
        </x:is>
      </x:c>
      <x:c r="V146" t="inlineStr">
        <x:is>
          <x:t xml:space="preserve">No</x:t>
        </x:is>
      </x:c>
      <x:c r="W146" t="n">
        <x:v>64</x:v>
      </x:c>
      <x:c r="X146" t="inlineStr">
        <x:is>
          <x:t xml:space="preserve">Synthetic - CIE training only</x:t>
        </x:is>
      </x:c>
    </x:row>
    <x:row r="147">
      <x:c r="A147" t="inlineStr">
        <x:is>
          <x:t xml:space="preserve">LGL-26-0142</x:t>
        </x:is>
      </x:c>
      <x:c r="B147" s="9" t="n">
        <x:v>46237</x:v>
      </x:c>
      <x:c r="C147" t="inlineStr">
        <x:is>
          <x:t xml:space="preserve">Q3 2026</x:t>
        </x:is>
      </x:c>
      <x:c r="D147" t="inlineStr">
        <x:is>
          <x:t xml:space="preserve">Brazil</x:t>
        </x:is>
      </x:c>
      <x:c r="E147" t="inlineStr">
        <x:is>
          <x:t xml:space="preserve">Americas</x:t>
        </x:is>
      </x:c>
      <x:c r="F147" t="inlineStr">
        <x:is>
          <x:t xml:space="preserve">Corporate Affairs</x:t>
        </x:is>
      </x:c>
      <x:c r="G147" t="inlineStr">
        <x:is>
          <x:t xml:space="preserve">SaaS / Cloud services</x:t>
        </x:is>
      </x:c>
      <x:c r="H147" t="inlineStr">
        <x:is>
          <x:t xml:space="preserve">AI/analytics vendor</x:t>
        </x:is>
      </x:c>
      <x:c r="I147" t="inlineStr">
        <x:is>
          <x:t xml:space="preserve">Northvale Insights SA</x:t>
        </x:is>
      </x:c>
      <x:c r="J147" t="inlineStr">
        <x:is>
          <x:t xml:space="preserve">IP in outputs</x:t>
        </x:is>
      </x:c>
      <x:c r="K147" t="inlineStr">
        <x:is>
          <x:t xml:space="preserve">Minor</x:t>
        </x:is>
      </x:c>
      <x:c r="L147" t="inlineStr">
        <x:is>
          <x:t xml:space="preserve">Personal data - consumer (adult)</x:t>
        </x:is>
      </x:c>
      <x:c r="M147" t="inlineStr">
        <x:is>
          <x:t xml:space="preserve">Model training on BAT data</x:t>
        </x:is>
      </x:c>
      <x:c r="N147" t="inlineStr">
        <x:is>
          <x:t xml:space="preserve">Emerging AI regulation - counsel to assess</x:t>
        </x:is>
      </x:c>
      <x:c r="O147" t="n">
        <x:v>3</x:v>
      </x:c>
      <x:c r="P147" t="n">
        <x:v>5</x:v>
      </x:c>
      <x:c r="Q147" t="n">
        <x:v>15</x:v>
      </x:c>
      <x:c r="R147" t="inlineStr">
        <x:is>
          <x:t xml:space="preserve">High</x:t>
        </x:is>
      </x:c>
      <x:c r="S147" t="inlineStr">
        <x:is>
          <x:t xml:space="preserve">Digital &amp; Data Legal</x:t>
        </x:is>
      </x:c>
      <x:c r="T147" s="9" t="n">
        <x:v>46330</x:v>
      </x:c>
      <x:c r="U147" t="inlineStr">
        <x:is>
          <x:t xml:space="preserve">In review</x:t>
        </x:is>
      </x:c>
      <x:c r="V147" t="inlineStr">
        <x:is>
          <x:t xml:space="preserve">Yes</x:t>
        </x:is>
      </x:c>
      <x:c r="W147" t="n">
        <x:v>74</x:v>
      </x:c>
      <x:c r="X147" t="inlineStr">
        <x:is>
          <x:t xml:space="preserve">Synthetic - CIE training only</x:t>
        </x:is>
      </x:c>
    </x:row>
    <x:row r="148">
      <x:c r="A148" t="inlineStr">
        <x:is>
          <x:t xml:space="preserve">LGL-26-0143</x:t>
        </x:is>
      </x:c>
      <x:c r="B148" s="9" t="n">
        <x:v>46267</x:v>
      </x:c>
      <x:c r="C148" t="inlineStr">
        <x:is>
          <x:t xml:space="preserve">Q3 2026</x:t>
        </x:is>
      </x:c>
      <x:c r="D148" t="inlineStr">
        <x:is>
          <x:t xml:space="preserve">Japan</x:t>
        </x:is>
      </x:c>
      <x:c r="E148" t="inlineStr">
        <x:is>
          <x:t xml:space="preserve">Asia-Pacific</x:t>
        </x:is>
      </x:c>
      <x:c r="F148" t="inlineStr">
        <x:is>
          <x:t xml:space="preserve">HR</x:t>
        </x:is>
      </x:c>
      <x:c r="G148" t="inlineStr">
        <x:is>
          <x:t xml:space="preserve">SaaS / Cloud services</x:t>
        </x:is>
      </x:c>
      <x:c r="H148" t="inlineStr">
        <x:is>
          <x:t xml:space="preserve">AI/analytics vendor</x:t>
        </x:is>
      </x:c>
      <x:c r="I148" t="inlineStr">
        <x:is>
          <x:t xml:space="preserve">Kestrel Signal Labs</x:t>
        </x:is>
      </x:c>
      <x:c r="J148" t="inlineStr">
        <x:is>
          <x:t xml:space="preserve">AI transparency</x:t>
        </x:is>
      </x:c>
      <x:c r="K148" t="inlineStr">
        <x:is>
          <x:t xml:space="preserve">Major</x:t>
        </x:is>
      </x:c>
      <x:c r="L148" t="inlineStr">
        <x:is>
          <x:t xml:space="preserve">None / public</x:t>
        </x:is>
      </x:c>
      <x:c r="M148" t="inlineStr">
        <x:is>
          <x:t xml:space="preserve">AI-enabled feature</x:t>
        </x:is>
      </x:c>
      <x:c r="N148" t="inlineStr">
        <x:is>
          <x:t xml:space="preserve">Single market</x:t>
        </x:is>
      </x:c>
      <x:c r="O148" t="n">
        <x:v>4</x:v>
      </x:c>
      <x:c r="P148" t="n">
        <x:v>2</x:v>
      </x:c>
      <x:c r="Q148" t="n">
        <x:v>8</x:v>
      </x:c>
      <x:c r="R148" t="inlineStr">
        <x:is>
          <x:t xml:space="preserve">Medium</x:t>
        </x:is>
      </x:c>
      <x:c r="S148" t="inlineStr">
        <x:is>
          <x:t xml:space="preserve">AI Governance Panel</x:t>
        </x:is>
      </x:c>
      <x:c r="T148" s="9" t="n">
        <x:v>46328</x:v>
      </x:c>
      <x:c r="U148" t="inlineStr">
        <x:is>
          <x:t xml:space="preserve">New</x:t>
        </x:is>
      </x:c>
      <x:c r="V148" t="inlineStr">
        <x:is>
          <x:t xml:space="preserve">No</x:t>
        </x:is>
      </x:c>
      <x:c r="W148" t="n">
        <x:v>44</x:v>
      </x:c>
      <x:c r="X148" t="inlineStr">
        <x:is>
          <x:t xml:space="preserve">Synthetic - CIE training only</x:t>
        </x:is>
      </x:c>
    </x:row>
    <x:row r="149">
      <x:c r="A149" t="inlineStr">
        <x:is>
          <x:t xml:space="preserve">LGL-26-0144</x:t>
        </x:is>
      </x:c>
      <x:c r="B149" s="9" t="n">
        <x:v>46286</x:v>
      </x:c>
      <x:c r="C149" t="inlineStr">
        <x:is>
          <x:t xml:space="preserve">Q3 2026</x:t>
        </x:is>
      </x:c>
      <x:c r="D149" t="inlineStr">
        <x:is>
          <x:t xml:space="preserve">Brazil</x:t>
        </x:is>
      </x:c>
      <x:c r="E149" t="inlineStr">
        <x:is>
          <x:t xml:space="preserve">Americas</x:t>
        </x:is>
      </x:c>
      <x:c r="F149" t="inlineStr">
        <x:is>
          <x:t xml:space="preserve">Digital &amp; IT</x:t>
        </x:is>
      </x:c>
      <x:c r="G149" t="inlineStr">
        <x:is>
          <x:t xml:space="preserve">Professional services</x:t>
        </x:is>
      </x:c>
      <x:c r="H149" t="inlineStr">
        <x:is>
          <x:t xml:space="preserve">Technology vendor</x:t>
        </x:is>
      </x:c>
      <x:c r="I149" t="inlineStr">
        <x:is>
          <x:t xml:space="preserve">Halcyon Workflow Inc</x:t>
        </x:is>
      </x:c>
      <x:c r="J149" t="inlineStr">
        <x:is>
          <x:t xml:space="preserve">Termination</x:t>
        </x:is>
      </x:c>
      <x:c r="K149" t="inlineStr">
        <x:is>
          <x:t xml:space="preserve">Minor</x:t>
        </x:is>
      </x:c>
      <x:c r="L149" t="inlineStr">
        <x:is>
          <x:t xml:space="preserve">Business confidential</x:t>
        </x:is>
      </x:c>
      <x:c r="M149" t="inlineStr">
        <x:is>
          <x:t xml:space="preserve">Model training on BAT data</x:t>
        </x:is>
      </x:c>
      <x:c r="N149" t="inlineStr">
        <x:is>
          <x:t xml:space="preserve">Emerging AI regulation - counsel to assess</x:t>
        </x:is>
      </x:c>
      <x:c r="O149" t="n">
        <x:v>3</x:v>
      </x:c>
      <x:c r="P149" t="n">
        <x:v>3</x:v>
      </x:c>
      <x:c r="Q149" t="n">
        <x:v>9</x:v>
      </x:c>
      <x:c r="R149" t="inlineStr">
        <x:is>
          <x:t xml:space="preserve">Medium</x:t>
        </x:is>
      </x:c>
      <x:c r="S149" t="inlineStr">
        <x:is>
          <x:t xml:space="preserve">Commercial Legal</x:t>
        </x:is>
      </x:c>
      <x:c r="T149" s="9" t="n">
        <x:v>46323</x:v>
      </x:c>
      <x:c r="U149" t="inlineStr">
        <x:is>
          <x:t xml:space="preserve">In triage</x:t>
        </x:is>
      </x:c>
      <x:c r="V149" t="inlineStr">
        <x:is>
          <x:t xml:space="preserve">No</x:t>
        </x:is>
      </x:c>
      <x:c r="W149" t="n">
        <x:v>25</x:v>
      </x:c>
      <x:c r="X149" t="inlineStr">
        <x:is>
          <x:t xml:space="preserve">Synthetic - CIE training only</x:t>
        </x:is>
      </x:c>
    </x:row>
    <x:row r="150">
      <x:c r="A150" t="inlineStr">
        <x:is>
          <x:t xml:space="preserve">LGL-26-0145</x:t>
        </x:is>
      </x:c>
      <x:c r="B150" s="9" t="n">
        <x:v>46207</x:v>
      </x:c>
      <x:c r="C150" t="inlineStr">
        <x:is>
          <x:t xml:space="preserve">Q3 2026</x:t>
        </x:is>
      </x:c>
      <x:c r="D150" t="inlineStr">
        <x:is>
          <x:t xml:space="preserve">Poland</x:t>
        </x:is>
      </x:c>
      <x:c r="E150" t="inlineStr">
        <x:is>
          <x:t xml:space="preserve">Europe</x:t>
        </x:is>
      </x:c>
      <x:c r="F150" t="inlineStr">
        <x:is>
          <x:t xml:space="preserve">Procurement</x:t>
        </x:is>
      </x:c>
      <x:c r="G150" t="inlineStr">
        <x:is>
          <x:t xml:space="preserve">Software licence</x:t>
        </x:is>
      </x:c>
      <x:c r="H150" t="inlineStr">
        <x:is>
          <x:t xml:space="preserve">Technology vendor</x:t>
        </x:is>
      </x:c>
      <x:c r="I150" t="inlineStr">
        <x:is>
          <x:t xml:space="preserve">Halcyon Workflow Inc</x:t>
        </x:is>
      </x:c>
      <x:c r="J150" t="inlineStr">
        <x:is>
          <x:t xml:space="preserve">Confidentiality</x:t>
        </x:is>
      </x:c>
      <x:c r="K150" t="inlineStr">
        <x:is>
          <x:t xml:space="preserve">Minor</x:t>
        </x:is>
      </x:c>
      <x:c r="L150" t="inlineStr">
        <x:is>
          <x:t xml:space="preserve">Personal data - employee</x:t>
        </x:is>
      </x:c>
      <x:c r="M150" t="inlineStr">
        <x:is>
          <x:t xml:space="preserve">None</x:t>
        </x:is>
      </x:c>
      <x:c r="N150" t="inlineStr">
        <x:is>
          <x:t xml:space="preserve">Single market</x:t>
        </x:is>
      </x:c>
      <x:c r="O150" t="n">
        <x:v>1</x:v>
      </x:c>
      <x:c r="P150" t="n">
        <x:v>3</x:v>
      </x:c>
      <x:c r="Q150" t="n">
        <x:v>3</x:v>
      </x:c>
      <x:c r="R150" t="inlineStr">
        <x:is>
          <x:t xml:space="preserve">Low</x:t>
        </x:is>
      </x:c>
      <x:c r="S150" t="inlineStr">
        <x:is>
          <x:t xml:space="preserve">Commercial Legal</x:t>
        </x:is>
      </x:c>
      <x:c r="T150" s="9" t="n">
        <x:v>46315</x:v>
      </x:c>
      <x:c r="U150" t="inlineStr">
        <x:is>
          <x:t xml:space="preserve">In triage</x:t>
        </x:is>
      </x:c>
      <x:c r="V150" t="inlineStr">
        <x:is>
          <x:t xml:space="preserve">No</x:t>
        </x:is>
      </x:c>
      <x:c r="W150" t="n">
        <x:v>104</x:v>
      </x:c>
      <x:c r="X150" t="inlineStr">
        <x:is>
          <x:t xml:space="preserve">Synthetic - CIE training only</x:t>
        </x:is>
      </x:c>
    </x:row>
    <x:row r="151">
      <x:c r="A151" t="inlineStr">
        <x:is>
          <x:t xml:space="preserve">LGL-26-0146</x:t>
        </x:is>
      </x:c>
      <x:c r="B151" s="9" t="n">
        <x:v>46288</x:v>
      </x:c>
      <x:c r="C151" t="inlineStr">
        <x:is>
          <x:t xml:space="preserve">Q3 2026</x:t>
        </x:is>
      </x:c>
      <x:c r="D151" t="inlineStr">
        <x:is>
          <x:t xml:space="preserve">Indonesia</x:t>
        </x:is>
      </x:c>
      <x:c r="E151" t="inlineStr">
        <x:is>
          <x:t xml:space="preserve">Asia-Pacific</x:t>
        </x:is>
      </x:c>
      <x:c r="F151" t="inlineStr">
        <x:is>
          <x:t xml:space="preserve">Procurement</x:t>
        </x:is>
      </x:c>
      <x:c r="G151" t="inlineStr">
        <x:is>
          <x:t xml:space="preserve">SaaS / Cloud services</x:t>
        </x:is>
      </x:c>
      <x:c r="H151" t="inlineStr">
        <x:is>
          <x:t xml:space="preserve">AI/analytics vendor</x:t>
        </x:is>
      </x:c>
      <x:c r="I151" t="inlineStr">
        <x:is>
          <x:t xml:space="preserve">Kestrel Signal Labs</x:t>
        </x:is>
      </x:c>
      <x:c r="J151" t="inlineStr">
        <x:is>
          <x:t xml:space="preserve">Sub-processors</x:t>
        </x:is>
      </x:c>
      <x:c r="K151" t="inlineStr">
        <x:is>
          <x:t xml:space="preserve">Major</x:t>
        </x:is>
      </x:c>
      <x:c r="L151" t="inlineStr">
        <x:is>
          <x:t xml:space="preserve">Business confidential</x:t>
        </x:is>
      </x:c>
      <x:c r="M151" t="inlineStr">
        <x:is>
          <x:t xml:space="preserve">Generative AI output</x:t>
        </x:is>
      </x:c>
      <x:c r="N151" t="inlineStr">
        <x:is>
          <x:t xml:space="preserve">Emerging AI regulation - counsel to assess</x:t>
        </x:is>
      </x:c>
      <x:c r="O151" t="n">
        <x:v>4</x:v>
      </x:c>
      <x:c r="P151" t="n">
        <x:v>2</x:v>
      </x:c>
      <x:c r="Q151" t="n">
        <x:v>8</x:v>
      </x:c>
      <x:c r="R151" t="inlineStr">
        <x:is>
          <x:t xml:space="preserve">Medium</x:t>
        </x:is>
      </x:c>
      <x:c r="S151" t="inlineStr">
        <x:is>
          <x:t xml:space="preserve">Privacy Office</x:t>
        </x:is>
      </x:c>
      <x:c r="T151" s="9" t="n">
        <x:v>46316</x:v>
      </x:c>
      <x:c r="U151" t="inlineStr">
        <x:is>
          <x:t xml:space="preserve">Escalated</x:t>
        </x:is>
      </x:c>
      <x:c r="V151" t="inlineStr">
        <x:is>
          <x:t xml:space="preserve">Yes</x:t>
        </x:is>
      </x:c>
      <x:c r="W151" t="n">
        <x:v>23</x:v>
      </x:c>
      <x:c r="X151" t="inlineStr">
        <x:is>
          <x:t xml:space="preserve">Synthetic - CIE training only</x:t>
        </x:is>
      </x:c>
    </x:row>
    <x:row r="152">
      <x:c r="A152" t="inlineStr">
        <x:is>
          <x:t xml:space="preserve">LGL-26-0147</x:t>
        </x:is>
      </x:c>
      <x:c r="B152" s="9" t="n">
        <x:v>46290</x:v>
      </x:c>
      <x:c r="C152" t="inlineStr">
        <x:is>
          <x:t xml:space="preserve">Q3 2026</x:t>
        </x:is>
      </x:c>
      <x:c r="D152" t="inlineStr">
        <x:is>
          <x:t xml:space="preserve">Germany</x:t>
        </x:is>
      </x:c>
      <x:c r="E152" t="inlineStr">
        <x:is>
          <x:t xml:space="preserve">Europe</x:t>
        </x:is>
      </x:c>
      <x:c r="F152" t="inlineStr">
        <x:is>
          <x:t xml:space="preserve">Procurement</x:t>
        </x:is>
      </x:c>
      <x:c r="G152" t="inlineStr">
        <x:is>
          <x:t xml:space="preserve">Marketing agency agreement</x:t>
        </x:is>
      </x:c>
      <x:c r="H152" t="inlineStr">
        <x:is>
          <x:t xml:space="preserve">Agency</x:t>
        </x:is>
      </x:c>
      <x:c r="I152" t="inlineStr">
        <x:is>
          <x:t xml:space="preserve">Corvid Creative Partners</x:t>
        </x:is>
      </x:c>
      <x:c r="J152" t="inlineStr">
        <x:is>
          <x:t xml:space="preserve">AI transparency</x:t>
        </x:is>
      </x:c>
      <x:c r="K152" t="inlineStr">
        <x:is>
          <x:t xml:space="preserve">Critical</x:t>
        </x:is>
      </x:c>
      <x:c r="L152" t="inlineStr">
        <x:is>
          <x:t xml:space="preserve">Business confidential</x:t>
        </x:is>
      </x:c>
      <x:c r="M152" t="inlineStr">
        <x:is>
          <x:t xml:space="preserve">Generative AI output</x:t>
        </x:is>
      </x:c>
      <x:c r="N152" t="inlineStr">
        <x:is>
          <x:t xml:space="preserve">Emerging AI regulation - counsel to assess</x:t>
        </x:is>
      </x:c>
      <x:c r="O152" t="n">
        <x:v>4</x:v>
      </x:c>
      <x:c r="P152" t="n">
        <x:v>3</x:v>
      </x:c>
      <x:c r="Q152" t="n">
        <x:v>12</x:v>
      </x:c>
      <x:c r="R152" t="inlineStr">
        <x:is>
          <x:t xml:space="preserve">High</x:t>
        </x:is>
      </x:c>
      <x:c r="S152" t="inlineStr">
        <x:is>
          <x:t xml:space="preserve">AI Governance Panel</x:t>
        </x:is>
      </x:c>
      <x:c r="T152" s="9" t="n">
        <x:v>46300</x:v>
      </x:c>
      <x:c r="U152" t="inlineStr">
        <x:is>
          <x:t xml:space="preserve">Awaiting business info</x:t>
        </x:is>
      </x:c>
      <x:c r="V152" t="inlineStr">
        <x:is>
          <x:t xml:space="preserve">No</x:t>
        </x:is>
      </x:c>
      <x:c r="W152" t="n">
        <x:v>21</x:v>
      </x:c>
      <x:c r="X152" t="inlineStr">
        <x:is>
          <x:t xml:space="preserve">Synthetic - CIE training only</x:t>
        </x:is>
      </x:c>
    </x:row>
    <x:row r="153">
      <x:c r="A153" t="inlineStr">
        <x:is>
          <x:t xml:space="preserve">LGL-26-0148</x:t>
        </x:is>
      </x:c>
      <x:c r="B153" s="9" t="n">
        <x:v>46285</x:v>
      </x:c>
      <x:c r="C153" t="inlineStr">
        <x:is>
          <x:t xml:space="preserve">Q3 2026</x:t>
        </x:is>
      </x:c>
      <x:c r="D153" t="inlineStr">
        <x:is>
          <x:t xml:space="preserve">Poland</x:t>
        </x:is>
      </x:c>
      <x:c r="E153" t="inlineStr">
        <x:is>
          <x:t xml:space="preserve">Europe</x:t>
        </x:is>
      </x:c>
      <x:c r="F153" t="inlineStr">
        <x:is>
          <x:t xml:space="preserve">Corporate Affairs</x:t>
        </x:is>
      </x:c>
      <x:c r="G153" t="inlineStr">
        <x:is>
          <x:t xml:space="preserve">Marketing agency agreement</x:t>
        </x:is>
      </x:c>
      <x:c r="H153" t="inlineStr">
        <x:is>
          <x:t xml:space="preserve">Agency</x:t>
        </x:is>
      </x:c>
      <x:c r="I153" t="inlineStr">
        <x:is>
          <x:t xml:space="preserve">Corvid Creative Partners</x:t>
        </x:is>
      </x:c>
      <x:c r="J153" t="inlineStr">
        <x:is>
          <x:t xml:space="preserve">IP in outputs</x:t>
        </x:is>
      </x:c>
      <x:c r="K153" t="inlineStr">
        <x:is>
          <x:t xml:space="preserve">None</x:t>
        </x:is>
      </x:c>
      <x:c r="L153" t="inlineStr">
        <x:is>
          <x:t xml:space="preserve">Personal data - consumer (adult)</x:t>
        </x:is>
      </x:c>
      <x:c r="M153" t="inlineStr">
        <x:is>
          <x:t xml:space="preserve">Generative AI output</x:t>
        </x:is>
      </x:c>
      <x:c r="N153" t="inlineStr">
        <x:is>
          <x:t xml:space="preserve">Cross-border data transfer</x:t>
        </x:is>
      </x:c>
      <x:c r="O153" t="n">
        <x:v>1</x:v>
      </x:c>
      <x:c r="P153" t="n">
        <x:v>3</x:v>
      </x:c>
      <x:c r="Q153" t="n">
        <x:v>3</x:v>
      </x:c>
      <x:c r="R153" t="inlineStr">
        <x:is>
          <x:t xml:space="preserve">Low</x:t>
        </x:is>
      </x:c>
      <x:c r="S153" t="inlineStr">
        <x:is>
          <x:t xml:space="preserve">Digital &amp; Data Legal</x:t>
        </x:is>
      </x:c>
      <x:c r="T153" s="9" t="n">
        <x:v>46305</x:v>
      </x:c>
      <x:c r="U153" t="inlineStr">
        <x:is>
          <x:t xml:space="preserve">Awaiting business info</x:t>
        </x:is>
      </x:c>
      <x:c r="V153" t="inlineStr">
        <x:is>
          <x:t xml:space="preserve">No</x:t>
        </x:is>
      </x:c>
      <x:c r="W153" t="n">
        <x:v>26</x:v>
      </x:c>
      <x:c r="X153" t="inlineStr">
        <x:is>
          <x:t xml:space="preserve">Synthetic - CIE training only</x:t>
        </x:is>
      </x:c>
    </x:row>
    <x:row r="154">
      <x:c r="A154" t="inlineStr">
        <x:is>
          <x:t xml:space="preserve">LGL-26-0149</x:t>
        </x:is>
      </x:c>
      <x:c r="B154" s="9" t="n">
        <x:v>46244</x:v>
      </x:c>
      <x:c r="C154" t="inlineStr">
        <x:is>
          <x:t xml:space="preserve">Q3 2026</x:t>
        </x:is>
      </x:c>
      <x:c r="D154" t="inlineStr">
        <x:is>
          <x:t xml:space="preserve">Romania</x:t>
        </x:is>
      </x:c>
      <x:c r="E154" t="inlineStr">
        <x:is>
          <x:t xml:space="preserve">Europe</x:t>
        </x:is>
      </x:c>
      <x:c r="F154" t="inlineStr">
        <x:is>
          <x:t xml:space="preserve">HR</x:t>
        </x:is>
      </x:c>
      <x:c r="G154" t="inlineStr">
        <x:is>
          <x:t xml:space="preserve">Professional services</x:t>
        </x:is>
      </x:c>
      <x:c r="H154" t="inlineStr">
        <x:is>
          <x:t xml:space="preserve">Technology vendor</x:t>
        </x:is>
      </x:c>
      <x:c r="I154" t="inlineStr">
        <x:is>
          <x:t xml:space="preserve">Tessaro Systems BV</x:t>
        </x:is>
      </x:c>
      <x:c r="J154" t="inlineStr">
        <x:is>
          <x:t xml:space="preserve">Data use / model training</x:t>
        </x:is>
      </x:c>
      <x:c r="K154" t="inlineStr">
        <x:is>
          <x:t xml:space="preserve">Minor</x:t>
        </x:is>
      </x:c>
      <x:c r="L154" t="inlineStr">
        <x:is>
          <x:t xml:space="preserve">None / public</x:t>
        </x:is>
      </x:c>
      <x:c r="M154" t="inlineStr">
        <x:is>
          <x:t xml:space="preserve">AI-enabled feature</x:t>
        </x:is>
      </x:c>
      <x:c r="N154" t="inlineStr">
        <x:is>
          <x:t xml:space="preserve">Single market</x:t>
        </x:is>
      </x:c>
      <x:c r="O154" t="n">
        <x:v>3</x:v>
      </x:c>
      <x:c r="P154" t="n">
        <x:v>1</x:v>
      </x:c>
      <x:c r="Q154" t="n">
        <x:v>3</x:v>
      </x:c>
      <x:c r="R154" t="inlineStr">
        <x:is>
          <x:t xml:space="preserve">Low</x:t>
        </x:is>
      </x:c>
      <x:c r="S154" t="inlineStr">
        <x:is>
          <x:t xml:space="preserve">AI Governance Panel</x:t>
        </x:is>
      </x:c>
      <x:c r="T154" s="9" t="n">
        <x:v>46264</x:v>
      </x:c>
      <x:c r="U154" t="inlineStr">
        <x:is>
          <x:t xml:space="preserve">Awaiting business info</x:t>
        </x:is>
      </x:c>
      <x:c r="V154" t="inlineStr">
        <x:is>
          <x:t xml:space="preserve">No</x:t>
        </x:is>
      </x:c>
      <x:c r="W154" t="n">
        <x:v>67</x:v>
      </x:c>
      <x:c r="X154" t="inlineStr">
        <x:is>
          <x:t xml:space="preserve">Synthetic - CIE training only</x:t>
        </x:is>
      </x:c>
    </x:row>
    <x:row r="155">
      <x:c r="A155" t="inlineStr">
        <x:is>
          <x:t xml:space="preserve">LGL-26-0150</x:t>
        </x:is>
      </x:c>
      <x:c r="B155" s="9" t="n">
        <x:v>46210</x:v>
      </x:c>
      <x:c r="C155" t="inlineStr">
        <x:is>
          <x:t xml:space="preserve">Q3 2026</x:t>
        </x:is>
      </x:c>
      <x:c r="D155" t="inlineStr">
        <x:is>
          <x:t xml:space="preserve">Poland</x:t>
        </x:is>
      </x:c>
      <x:c r="E155" t="inlineStr">
        <x:is>
          <x:t xml:space="preserve">Europe</x:t>
        </x:is>
      </x:c>
      <x:c r="F155" t="inlineStr">
        <x:is>
          <x:t xml:space="preserve">Corporate Affairs</x:t>
        </x:is>
      </x:c>
      <x:c r="G155" t="inlineStr">
        <x:is>
          <x:t xml:space="preserve">NDA</x:t>
        </x:is>
      </x:c>
      <x:c r="H155" t="inlineStr">
        <x:is>
          <x:t xml:space="preserve">Consultancy</x:t>
        </x:is>
      </x:c>
      <x:c r="I155" t="inlineStr">
        <x:is>
          <x:t xml:space="preserve">Meridian Ridge Advisory</x:t>
        </x:is>
      </x:c>
      <x:c r="J155" t="inlineStr">
        <x:is>
          <x:t xml:space="preserve">Termination</x:t>
        </x:is>
      </x:c>
      <x:c r="K155" t="inlineStr">
        <x:is>
          <x:t xml:space="preserve">Minor</x:t>
        </x:is>
      </x:c>
      <x:c r="L155" t="inlineStr">
        <x:is>
          <x:t xml:space="preserve">None / public</x:t>
        </x:is>
      </x:c>
      <x:c r="M155" t="inlineStr">
        <x:is>
          <x:t xml:space="preserve">None</x:t>
        </x:is>
      </x:c>
      <x:c r="N155" t="inlineStr">
        <x:is>
          <x:t xml:space="preserve">Single market</x:t>
        </x:is>
      </x:c>
      <x:c r="O155" t="n">
        <x:v>1</x:v>
      </x:c>
      <x:c r="P155" t="n">
        <x:v>2</x:v>
      </x:c>
      <x:c r="Q155" t="n">
        <x:v>2</x:v>
      </x:c>
      <x:c r="R155" t="inlineStr">
        <x:is>
          <x:t xml:space="preserve">Low</x:t>
        </x:is>
      </x:c>
      <x:c r="S155" t="inlineStr">
        <x:is>
          <x:t xml:space="preserve">Commercial Legal</x:t>
        </x:is>
      </x:c>
      <x:c r="T155" s="9" t="n">
        <x:v>46332</x:v>
      </x:c>
      <x:c r="U155" t="inlineStr">
        <x:is>
          <x:t xml:space="preserve">In triage</x:t>
        </x:is>
      </x:c>
      <x:c r="V155" t="inlineStr">
        <x:is>
          <x:t xml:space="preserve">No</x:t>
        </x:is>
      </x:c>
      <x:c r="W155" t="n">
        <x:v>101</x:v>
      </x:c>
      <x:c r="X155" t="inlineStr">
        <x:is>
          <x:t xml:space="preserve">Synthetic - CIE training only</x:t>
        </x:is>
      </x:c>
    </x:row>
    <x:row r="156">
      <x:c r="A156" t="inlineStr">
        <x:is>
          <x:t xml:space="preserve">LGL-26-0151</x:t>
        </x:is>
      </x:c>
      <x:c r="B156" s="9" t="n">
        <x:v>46254</x:v>
      </x:c>
      <x:c r="C156" t="inlineStr">
        <x:is>
          <x:t xml:space="preserve">Q3 2026</x:t>
        </x:is>
      </x:c>
      <x:c r="D156" t="inlineStr">
        <x:is>
          <x:t xml:space="preserve">United Kingdom</x:t>
        </x:is>
      </x:c>
      <x:c r="E156" t="inlineStr">
        <x:is>
          <x:t xml:space="preserve">Europe</x:t>
        </x:is>
      </x:c>
      <x:c r="F156" t="inlineStr">
        <x:is>
          <x:t xml:space="preserve">Finance</x:t>
        </x:is>
      </x:c>
      <x:c r="G156" t="inlineStr">
        <x:is>
          <x:t xml:space="preserve">SaaS / Cloud services</x:t>
        </x:is>
      </x:c>
      <x:c r="H156" t="inlineStr">
        <x:is>
          <x:t xml:space="preserve">Technology vendor</x:t>
        </x:is>
      </x:c>
      <x:c r="I156" t="inlineStr">
        <x:is>
          <x:t xml:space="preserve">Pinemark Software Ltd</x:t>
        </x:is>
      </x:c>
      <x:c r="J156" t="inlineStr">
        <x:is>
          <x:t xml:space="preserve">Sub-processors</x:t>
        </x:is>
      </x:c>
      <x:c r="K156" t="inlineStr">
        <x:is>
          <x:t xml:space="preserve">None</x:t>
        </x:is>
      </x:c>
      <x:c r="L156" t="inlineStr">
        <x:is>
          <x:t xml:space="preserve">Personal data - consumer (adult)</x:t>
        </x:is>
      </x:c>
      <x:c r="M156" t="inlineStr">
        <x:is>
          <x:t xml:space="preserve">Generative AI output</x:t>
        </x:is>
      </x:c>
      <x:c r="N156" t="inlineStr">
        <x:is>
          <x:t xml:space="preserve">Cross-border data transfer</x:t>
        </x:is>
      </x:c>
      <x:c r="O156" t="n">
        <x:v>1</x:v>
      </x:c>
      <x:c r="P156" t="n">
        <x:v>3</x:v>
      </x:c>
      <x:c r="Q156" t="n">
        <x:v>3</x:v>
      </x:c>
      <x:c r="R156" t="inlineStr">
        <x:is>
          <x:t xml:space="preserve">Low</x:t>
        </x:is>
      </x:c>
      <x:c r="S156" t="inlineStr">
        <x:is>
          <x:t xml:space="preserve">Privacy Office</x:t>
        </x:is>
      </x:c>
      <x:c r="T156" s="9" t="n">
        <x:v>46274</x:v>
      </x:c>
      <x:c r="U156" t="inlineStr">
        <x:is>
          <x:t xml:space="preserve">Awaiting business info</x:t>
        </x:is>
      </x:c>
      <x:c r="V156" t="inlineStr">
        <x:is>
          <x:t xml:space="preserve">No</x:t>
        </x:is>
      </x:c>
      <x:c r="W156" t="n">
        <x:v>57</x:v>
      </x:c>
      <x:c r="X156" t="inlineStr">
        <x:is>
          <x:t xml:space="preserve">Synthetic - CIE training only</x:t>
        </x:is>
      </x:c>
    </x:row>
    <x:row r="157">
      <x:c r="A157" t="inlineStr">
        <x:is>
          <x:t xml:space="preserve">LGL-26-0152</x:t>
        </x:is>
      </x:c>
      <x:c r="B157" s="9" t="n">
        <x:v>46229</x:v>
      </x:c>
      <x:c r="C157" t="inlineStr">
        <x:is>
          <x:t xml:space="preserve">Q3 2026</x:t>
        </x:is>
      </x:c>
      <x:c r="D157" t="inlineStr">
        <x:is>
          <x:t xml:space="preserve">Indonesia</x:t>
        </x:is>
      </x:c>
      <x:c r="E157" t="inlineStr">
        <x:is>
          <x:t xml:space="preserve">Asia-Pacific</x:t>
        </x:is>
      </x:c>
      <x:c r="F157" t="inlineStr">
        <x:is>
          <x:t xml:space="preserve">Corporate Affairs</x:t>
        </x:is>
      </x:c>
      <x:c r="G157" t="inlineStr">
        <x:is>
          <x:t xml:space="preserve">SaaS / Cloud services</x:t>
        </x:is>
      </x:c>
      <x:c r="H157" t="inlineStr">
        <x:is>
          <x:t xml:space="preserve">Technology vendor</x:t>
        </x:is>
      </x:c>
      <x:c r="I157" t="inlineStr">
        <x:is>
          <x:t xml:space="preserve">Pinemark Software Ltd</x:t>
        </x:is>
      </x:c>
      <x:c r="J157" t="inlineStr">
        <x:is>
          <x:t xml:space="preserve">Limitation of liability</x:t>
        </x:is>
      </x:c>
      <x:c r="K157" t="inlineStr">
        <x:is>
          <x:t xml:space="preserve">None</x:t>
        </x:is>
      </x:c>
      <x:c r="L157" t="inlineStr">
        <x:is>
          <x:t xml:space="preserve">Personal data - consumer (adult)</x:t>
        </x:is>
      </x:c>
      <x:c r="M157" t="inlineStr">
        <x:is>
          <x:t xml:space="preserve">AI-enabled feature</x:t>
        </x:is>
      </x:c>
      <x:c r="N157" t="inlineStr">
        <x:is>
          <x:t xml:space="preserve">Cross-border data transfer</x:t>
        </x:is>
      </x:c>
      <x:c r="O157" t="n">
        <x:v>2</x:v>
      </x:c>
      <x:c r="P157" t="n">
        <x:v>2</x:v>
      </x:c>
      <x:c r="Q157" t="n">
        <x:v>4</x:v>
      </x:c>
      <x:c r="R157" t="inlineStr">
        <x:is>
          <x:t xml:space="preserve">Low</x:t>
        </x:is>
      </x:c>
      <x:c r="S157" t="inlineStr">
        <x:is>
          <x:t xml:space="preserve">Commercial Legal</x:t>
        </x:is>
      </x:c>
      <x:c r="T157" s="9" t="n">
        <x:v>46320</x:v>
      </x:c>
      <x:c r="U157" t="inlineStr">
        <x:is>
          <x:t xml:space="preserve">In review</x:t>
        </x:is>
      </x:c>
      <x:c r="V157" t="inlineStr">
        <x:is>
          <x:t xml:space="preserve">No</x:t>
        </x:is>
      </x:c>
      <x:c r="W157" t="n">
        <x:v>82</x:v>
      </x:c>
      <x:c r="X157" t="inlineStr">
        <x:is>
          <x:t xml:space="preserve">Synthetic - CIE training only</x:t>
        </x:is>
      </x:c>
    </x:row>
    <x:row r="158">
      <x:c r="A158" t="inlineStr">
        <x:is>
          <x:t xml:space="preserve">LGL-26-0153</x:t>
        </x:is>
      </x:c>
      <x:c r="B158" s="9" t="n">
        <x:v>46229</x:v>
      </x:c>
      <x:c r="C158" t="inlineStr">
        <x:is>
          <x:t xml:space="preserve">Q3 2026</x:t>
        </x:is>
      </x:c>
      <x:c r="D158" t="inlineStr">
        <x:is>
          <x:t xml:space="preserve">Japan</x:t>
        </x:is>
      </x:c>
      <x:c r="E158" t="inlineStr">
        <x:is>
          <x:t xml:space="preserve">Asia-Pacific</x:t>
        </x:is>
      </x:c>
      <x:c r="F158" t="inlineStr">
        <x:is>
          <x:t xml:space="preserve">Operations</x:t>
        </x:is>
      </x:c>
      <x:c r="G158" t="inlineStr">
        <x:is>
          <x:t xml:space="preserve">Professional services</x:t>
        </x:is>
      </x:c>
      <x:c r="H158" t="inlineStr">
        <x:is>
          <x:t xml:space="preserve">Technology vendor</x:t>
        </x:is>
      </x:c>
      <x:c r="I158" t="inlineStr">
        <x:is>
          <x:t xml:space="preserve">Halcyon Workflow Inc</x:t>
        </x:is>
      </x:c>
      <x:c r="J158" t="inlineStr">
        <x:is>
          <x:t xml:space="preserve">AI transparency</x:t>
        </x:is>
      </x:c>
      <x:c r="K158" t="inlineStr">
        <x:is>
          <x:t xml:space="preserve">Minor</x:t>
        </x:is>
      </x:c>
      <x:c r="L158" t="inlineStr">
        <x:is>
          <x:t xml:space="preserve">Personal data - employee</x:t>
        </x:is>
      </x:c>
      <x:c r="M158" t="inlineStr">
        <x:is>
          <x:t xml:space="preserve">Model training on BAT data</x:t>
        </x:is>
      </x:c>
      <x:c r="N158" t="inlineStr">
        <x:is>
          <x:t xml:space="preserve">Emerging AI regulation - counsel to assess</x:t>
        </x:is>
      </x:c>
      <x:c r="O158" t="n">
        <x:v>2</x:v>
      </x:c>
      <x:c r="P158" t="n">
        <x:v>4</x:v>
      </x:c>
      <x:c r="Q158" t="n">
        <x:v>8</x:v>
      </x:c>
      <x:c r="R158" t="inlineStr">
        <x:is>
          <x:t xml:space="preserve">Medium</x:t>
        </x:is>
      </x:c>
      <x:c r="S158" t="inlineStr">
        <x:is>
          <x:t xml:space="preserve">AI Governance Panel</x:t>
        </x:is>
      </x:c>
      <x:c r="T158" s="9" t="n">
        <x:v>46331</x:v>
      </x:c>
      <x:c r="U158" t="inlineStr">
        <x:is>
          <x:t xml:space="preserve">In review</x:t>
        </x:is>
      </x:c>
      <x:c r="V158" t="inlineStr">
        <x:is>
          <x:t xml:space="preserve">No</x:t>
        </x:is>
      </x:c>
      <x:c r="W158" t="n">
        <x:v>82</x:v>
      </x:c>
      <x:c r="X158" t="inlineStr">
        <x:is>
          <x:t xml:space="preserve">Synthetic - CIE training only</x:t>
        </x:is>
      </x:c>
    </x:row>
    <x:row r="159">
      <x:c r="A159" t="inlineStr">
        <x:is>
          <x:t xml:space="preserve">LGL-26-0154</x:t>
        </x:is>
      </x:c>
      <x:c r="B159" s="9" t="n">
        <x:v>46269</x:v>
      </x:c>
      <x:c r="C159" t="inlineStr">
        <x:is>
          <x:t xml:space="preserve">Q3 2026</x:t>
        </x:is>
      </x:c>
      <x:c r="D159" t="inlineStr">
        <x:is>
          <x:t xml:space="preserve">Brazil</x:t>
        </x:is>
      </x:c>
      <x:c r="E159" t="inlineStr">
        <x:is>
          <x:t xml:space="preserve">Americas</x:t>
        </x:is>
      </x:c>
      <x:c r="F159" t="inlineStr">
        <x:is>
          <x:t xml:space="preserve">Operations</x:t>
        </x:is>
      </x:c>
      <x:c r="G159" t="inlineStr">
        <x:is>
          <x:t xml:space="preserve">Professional services</x:t>
        </x:is>
      </x:c>
      <x:c r="H159" t="inlineStr">
        <x:is>
          <x:t xml:space="preserve">Technology vendor</x:t>
        </x:is>
      </x:c>
      <x:c r="I159" t="inlineStr">
        <x:is>
          <x:t xml:space="preserve">Tessaro Systems BV</x:t>
        </x:is>
      </x:c>
      <x:c r="J159" t="inlineStr">
        <x:is>
          <x:t xml:space="preserve">IP in outputs</x:t>
        </x:is>
      </x:c>
      <x:c r="K159" t="inlineStr">
        <x:is>
          <x:t xml:space="preserve">None</x:t>
        </x:is>
      </x:c>
      <x:c r="L159" t="inlineStr">
        <x:is>
          <x:t xml:space="preserve">Personal data - consumer (adult)</x:t>
        </x:is>
      </x:c>
      <x:c r="M159" t="inlineStr">
        <x:is>
          <x:t xml:space="preserve">Generative AI output</x:t>
        </x:is>
      </x:c>
      <x:c r="N159" t="inlineStr">
        <x:is>
          <x:t xml:space="preserve">Emerging AI regulation - counsel to assess</x:t>
        </x:is>
      </x:c>
      <x:c r="O159" t="n">
        <x:v>2</x:v>
      </x:c>
      <x:c r="P159" t="n">
        <x:v>2</x:v>
      </x:c>
      <x:c r="Q159" t="n">
        <x:v>4</x:v>
      </x:c>
      <x:c r="R159" t="inlineStr">
        <x:is>
          <x:t xml:space="preserve">Low</x:t>
        </x:is>
      </x:c>
      <x:c r="S159" t="inlineStr">
        <x:is>
          <x:t xml:space="preserve">Digital &amp; Data Legal</x:t>
        </x:is>
      </x:c>
      <x:c r="T159" s="9" t="n">
        <x:v>46292</x:v>
      </x:c>
      <x:c r="U159" t="inlineStr">
        <x:is>
          <x:t xml:space="preserve">Closed</x:t>
        </x:is>
      </x:c>
      <x:c r="V159" t="inlineStr">
        <x:is>
          <x:t xml:space="preserve">No</x:t>
        </x:is>
      </x:c>
      <x:c r="W159" t="n">
        <x:v>21</x:v>
      </x:c>
      <x:c r="X159" t="inlineStr">
        <x:is>
          <x:t xml:space="preserve">Synthetic - CIE training only</x:t>
        </x:is>
      </x:c>
    </x:row>
    <x:row r="160">
      <x:c r="A160" t="inlineStr">
        <x:is>
          <x:t xml:space="preserve">LGL-26-0155</x:t>
        </x:is>
      </x:c>
      <x:c r="B160" s="9" t="n">
        <x:v>46262</x:v>
      </x:c>
      <x:c r="C160" t="inlineStr">
        <x:is>
          <x:t xml:space="preserve">Q3 2026</x:t>
        </x:is>
      </x:c>
      <x:c r="D160" t="inlineStr">
        <x:is>
          <x:t xml:space="preserve">United Kingdom</x:t>
        </x:is>
      </x:c>
      <x:c r="E160" t="inlineStr">
        <x:is>
          <x:t xml:space="preserve">Europe</x:t>
        </x:is>
      </x:c>
      <x:c r="F160" t="inlineStr">
        <x:is>
          <x:t xml:space="preserve">Digital &amp; IT</x:t>
        </x:is>
      </x:c>
      <x:c r="G160" t="inlineStr">
        <x:is>
          <x:t xml:space="preserve">Marketing agency agreement</x:t>
        </x:is>
      </x:c>
      <x:c r="H160" t="inlineStr">
        <x:is>
          <x:t xml:space="preserve">Agency</x:t>
        </x:is>
      </x:c>
      <x:c r="I160" t="inlineStr">
        <x:is>
          <x:t xml:space="preserve">Lantern &amp; Reed Agency</x:t>
        </x:is>
      </x:c>
      <x:c r="J160" t="inlineStr">
        <x:is>
          <x:t xml:space="preserve">Limitation of liability</x:t>
        </x:is>
      </x:c>
      <x:c r="K160" t="inlineStr">
        <x:is>
          <x:t xml:space="preserve">Major</x:t>
        </x:is>
      </x:c>
      <x:c r="L160" t="inlineStr">
        <x:is>
          <x:t xml:space="preserve">Personal data - employee</x:t>
        </x:is>
      </x:c>
      <x:c r="M160" t="inlineStr">
        <x:is>
          <x:t xml:space="preserve">None</x:t>
        </x:is>
      </x:c>
      <x:c r="N160" t="inlineStr">
        <x:is>
          <x:t xml:space="preserve">Multi-jurisdiction - counsel to assess</x:t>
        </x:is>
      </x:c>
      <x:c r="O160" t="n">
        <x:v>3</x:v>
      </x:c>
      <x:c r="P160" t="n">
        <x:v>3</x:v>
      </x:c>
      <x:c r="Q160" t="n">
        <x:v>9</x:v>
      </x:c>
      <x:c r="R160" t="inlineStr">
        <x:is>
          <x:t xml:space="preserve">Medium</x:t>
        </x:is>
      </x:c>
      <x:c r="S160" t="inlineStr">
        <x:is>
          <x:t xml:space="preserve">Commercial Legal</x:t>
        </x:is>
      </x:c>
      <x:c r="T160" s="9" t="n">
        <x:v>46280</x:v>
      </x:c>
      <x:c r="U160" t="inlineStr">
        <x:is>
          <x:t xml:space="preserve">Closed</x:t>
        </x:is>
      </x:c>
      <x:c r="V160" t="inlineStr">
        <x:is>
          <x:t xml:space="preserve">No</x:t>
        </x:is>
      </x:c>
      <x:c r="W160" t="n">
        <x:v>29</x:v>
      </x:c>
      <x:c r="X160" t="inlineStr">
        <x:is>
          <x:t xml:space="preserve">Synthetic - CIE training only</x:t>
        </x:is>
      </x:c>
    </x:row>
    <x:row r="161">
      <x:c r="A161" t="inlineStr">
        <x:is>
          <x:t xml:space="preserve">LGL-26-0156</x:t>
        </x:is>
      </x:c>
      <x:c r="B161" s="9" t="n">
        <x:v>46289</x:v>
      </x:c>
      <x:c r="C161" t="inlineStr">
        <x:is>
          <x:t xml:space="preserve">Q3 2026</x:t>
        </x:is>
      </x:c>
      <x:c r="D161" t="inlineStr">
        <x:is>
          <x:t xml:space="preserve">Mexico</x:t>
        </x:is>
      </x:c>
      <x:c r="E161" t="inlineStr">
        <x:is>
          <x:t xml:space="preserve">Americas</x:t>
        </x:is>
      </x:c>
      <x:c r="F161" t="inlineStr">
        <x:is>
          <x:t xml:space="preserve">Operations</x:t>
        </x:is>
      </x:c>
      <x:c r="G161" t="inlineStr">
        <x:is>
          <x:t xml:space="preserve">NDA</x:t>
        </x:is>
      </x:c>
      <x:c r="H161" t="inlineStr">
        <x:is>
          <x:t xml:space="preserve">Distributor</x:t>
        </x:is>
      </x:c>
      <x:c r="I161" t="inlineStr">
        <x:is>
          <x:t xml:space="preserve">Granite Coast Distribution</x:t>
        </x:is>
      </x:c>
      <x:c r="J161" t="inlineStr">
        <x:is>
          <x:t xml:space="preserve">Limitation of liability</x:t>
        </x:is>
      </x:c>
      <x:c r="K161" t="inlineStr">
        <x:is>
          <x:t xml:space="preserve">Major</x:t>
        </x:is>
      </x:c>
      <x:c r="L161" t="inlineStr">
        <x:is>
          <x:t xml:space="preserve">Business confidential</x:t>
        </x:is>
      </x:c>
      <x:c r="M161" t="inlineStr">
        <x:is>
          <x:t xml:space="preserve">None</x:t>
        </x:is>
      </x:c>
      <x:c r="N161" t="inlineStr">
        <x:is>
          <x:t xml:space="preserve">Single market</x:t>
        </x:is>
      </x:c>
      <x:c r="O161" t="n">
        <x:v>2</x:v>
      </x:c>
      <x:c r="P161" t="n">
        <x:v>2</x:v>
      </x:c>
      <x:c r="Q161" t="n">
        <x:v>4</x:v>
      </x:c>
      <x:c r="R161" t="inlineStr">
        <x:is>
          <x:t xml:space="preserve">Low</x:t>
        </x:is>
      </x:c>
      <x:c r="S161" t="inlineStr">
        <x:is>
          <x:t xml:space="preserve">Commercial Legal</x:t>
        </x:is>
      </x:c>
      <x:c r="T161" s="9" t="n">
        <x:v>46312</x:v>
      </x:c>
      <x:c r="U161" t="inlineStr">
        <x:is>
          <x:t xml:space="preserve">Closed</x:t>
        </x:is>
      </x:c>
      <x:c r="V161" t="inlineStr">
        <x:is>
          <x:t xml:space="preserve">No</x:t>
        </x:is>
      </x:c>
      <x:c r="W161" t="n">
        <x:v>16</x:v>
      </x:c>
      <x:c r="X161" t="inlineStr">
        <x:is>
          <x:t xml:space="preserve">Synthetic - CIE training only</x:t>
        </x:is>
      </x:c>
    </x:row>
    <x:row r="162">
      <x:c r="A162" t="inlineStr">
        <x:is>
          <x:t xml:space="preserve">LGL-26-0157</x:t>
        </x:is>
      </x:c>
      <x:c r="B162" s="9" t="n">
        <x:v>46286</x:v>
      </x:c>
      <x:c r="C162" t="inlineStr">
        <x:is>
          <x:t xml:space="preserve">Q3 2026</x:t>
        </x:is>
      </x:c>
      <x:c r="D162" t="inlineStr">
        <x:is>
          <x:t xml:space="preserve">South Africa</x:t>
        </x:is>
      </x:c>
      <x:c r="E162" t="inlineStr">
        <x:is>
          <x:t xml:space="preserve">Middle East &amp; Africa</x:t>
        </x:is>
      </x:c>
      <x:c r="F162" t="inlineStr">
        <x:is>
          <x:t xml:space="preserve">Corporate Affairs</x:t>
        </x:is>
      </x:c>
      <x:c r="G162" t="inlineStr">
        <x:is>
          <x:t xml:space="preserve">SaaS / Cloud services</x:t>
        </x:is>
      </x:c>
      <x:c r="H162" t="inlineStr">
        <x:is>
          <x:t xml:space="preserve">AI/analytics vendor</x:t>
        </x:is>
      </x:c>
      <x:c r="I162" t="inlineStr">
        <x:is>
          <x:t xml:space="preserve">Kestrel Signal Labs</x:t>
        </x:is>
      </x:c>
      <x:c r="J162" t="inlineStr">
        <x:is>
          <x:t xml:space="preserve">Data use / model training</x:t>
        </x:is>
      </x:c>
      <x:c r="K162" t="inlineStr">
        <x:is>
          <x:t xml:space="preserve">Major</x:t>
        </x:is>
      </x:c>
      <x:c r="L162" t="inlineStr">
        <x:is>
          <x:t xml:space="preserve">Personal data - consumer (adult)</x:t>
        </x:is>
      </x:c>
      <x:c r="M162" t="inlineStr">
        <x:is>
          <x:t xml:space="preserve">Generative AI output</x:t>
        </x:is>
      </x:c>
      <x:c r="N162" t="inlineStr">
        <x:is>
          <x:t xml:space="preserve">Cross-border data transfer</x:t>
        </x:is>
      </x:c>
      <x:c r="O162" t="n">
        <x:v>3</x:v>
      </x:c>
      <x:c r="P162" t="n">
        <x:v>3</x:v>
      </x:c>
      <x:c r="Q162" t="n">
        <x:v>9</x:v>
      </x:c>
      <x:c r="R162" t="inlineStr">
        <x:is>
          <x:t xml:space="preserve">Medium</x:t>
        </x:is>
      </x:c>
      <x:c r="S162" t="inlineStr">
        <x:is>
          <x:t xml:space="preserve">AI Governance Panel</x:t>
        </x:is>
      </x:c>
      <x:c r="T162" s="9" t="n">
        <x:v>46332</x:v>
      </x:c>
      <x:c r="U162" t="inlineStr">
        <x:is>
          <x:t xml:space="preserve">In review</x:t>
        </x:is>
      </x:c>
      <x:c r="V162" t="inlineStr">
        <x:is>
          <x:t xml:space="preserve">No</x:t>
        </x:is>
      </x:c>
      <x:c r="W162" t="n">
        <x:v>25</x:v>
      </x:c>
      <x:c r="X162" t="inlineStr">
        <x:is>
          <x:t xml:space="preserve">Synthetic - CIE training only</x:t>
        </x:is>
      </x:c>
    </x:row>
    <x:row r="163">
      <x:c r="A163" t="inlineStr">
        <x:is>
          <x:t xml:space="preserve">LGL-26-0158</x:t>
        </x:is>
      </x:c>
      <x:c r="B163" s="9" t="n">
        <x:v>46270</x:v>
      </x:c>
      <x:c r="C163" t="inlineStr">
        <x:is>
          <x:t xml:space="preserve">Q3 2026</x:t>
        </x:is>
      </x:c>
      <x:c r="D163" t="inlineStr">
        <x:is>
          <x:t xml:space="preserve">Poland</x:t>
        </x:is>
      </x:c>
      <x:c r="E163" t="inlineStr">
        <x:is>
          <x:t xml:space="preserve">Europe</x:t>
        </x:is>
      </x:c>
      <x:c r="F163" t="inlineStr">
        <x:is>
          <x:t xml:space="preserve">Finance</x:t>
        </x:is>
      </x:c>
      <x:c r="G163" t="inlineStr">
        <x:is>
          <x:t xml:space="preserve">Software licence</x:t>
        </x:is>
      </x:c>
      <x:c r="H163" t="inlineStr">
        <x:is>
          <x:t xml:space="preserve">Technology vendor</x:t>
        </x:is>
      </x:c>
      <x:c r="I163" t="inlineStr">
        <x:is>
          <x:t xml:space="preserve">Arcbridge Cloud Ltd</x:t>
        </x:is>
      </x:c>
      <x:c r="J163" t="inlineStr">
        <x:is>
          <x:t xml:space="preserve">IP in outputs</x:t>
        </x:is>
      </x:c>
      <x:c r="K163" t="inlineStr">
        <x:is>
          <x:t xml:space="preserve">None</x:t>
        </x:is>
      </x:c>
      <x:c r="L163" t="inlineStr">
        <x:is>
          <x:t xml:space="preserve">Personal data - consumer (adult)</x:t>
        </x:is>
      </x:c>
      <x:c r="M163" t="inlineStr">
        <x:is>
          <x:t xml:space="preserve">Generative AI output</x:t>
        </x:is>
      </x:c>
      <x:c r="N163" t="inlineStr">
        <x:is>
          <x:t xml:space="preserve">Single market</x:t>
        </x:is>
      </x:c>
      <x:c r="O163" t="n">
        <x:v>1</x:v>
      </x:c>
      <x:c r="P163" t="n">
        <x:v>3</x:v>
      </x:c>
      <x:c r="Q163" t="n">
        <x:v>3</x:v>
      </x:c>
      <x:c r="R163" t="inlineStr">
        <x:is>
          <x:t xml:space="preserve">Low</x:t>
        </x:is>
      </x:c>
      <x:c r="S163" t="inlineStr">
        <x:is>
          <x:t xml:space="preserve">Digital &amp; Data Legal</x:t>
        </x:is>
      </x:c>
      <x:c r="T163" s="9" t="n">
        <x:v>46314</x:v>
      </x:c>
      <x:c r="U163" t="inlineStr">
        <x:is>
          <x:t xml:space="preserve">In triage</x:t>
        </x:is>
      </x:c>
      <x:c r="V163" t="inlineStr">
        <x:is>
          <x:t xml:space="preserve">No</x:t>
        </x:is>
      </x:c>
      <x:c r="W163" t="n">
        <x:v>41</x:v>
      </x:c>
      <x:c r="X163" t="inlineStr">
        <x:is>
          <x:t xml:space="preserve">Synthetic - CIE training only</x:t>
        </x:is>
      </x:c>
    </x:row>
    <x:row r="164">
      <x:c r="A164" t="inlineStr">
        <x:is>
          <x:t xml:space="preserve">LGL-26-0159</x:t>
        </x:is>
      </x:c>
      <x:c r="B164" s="9" t="n">
        <x:v>46221</x:v>
      </x:c>
      <x:c r="C164" t="inlineStr">
        <x:is>
          <x:t xml:space="preserve">Q3 2026</x:t>
        </x:is>
      </x:c>
      <x:c r="D164" t="inlineStr">
        <x:is>
          <x:t xml:space="preserve">Brazil</x:t>
        </x:is>
      </x:c>
      <x:c r="E164" t="inlineStr">
        <x:is>
          <x:t xml:space="preserve">Americas</x:t>
        </x:is>
      </x:c>
      <x:c r="F164" t="inlineStr">
        <x:is>
          <x:t xml:space="preserve">Finance</x:t>
        </x:is>
      </x:c>
      <x:c r="G164" t="inlineStr">
        <x:is>
          <x:t xml:space="preserve">Professional services</x:t>
        </x:is>
      </x:c>
      <x:c r="H164" t="inlineStr">
        <x:is>
          <x:t xml:space="preserve">Agency</x:t>
        </x:is>
      </x:c>
      <x:c r="I164" t="inlineStr">
        <x:is>
          <x:t xml:space="preserve">Lantern &amp; Reed Agency</x:t>
        </x:is>
      </x:c>
      <x:c r="J164" t="inlineStr">
        <x:is>
          <x:t xml:space="preserve">Confidentiality</x:t>
        </x:is>
      </x:c>
      <x:c r="K164" t="inlineStr">
        <x:is>
          <x:t xml:space="preserve">None</x:t>
        </x:is>
      </x:c>
      <x:c r="L164" t="inlineStr">
        <x:is>
          <x:t xml:space="preserve">Personal data - consumer (adult)</x:t>
        </x:is>
      </x:c>
      <x:c r="M164" t="inlineStr">
        <x:is>
          <x:t xml:space="preserve">None</x:t>
        </x:is>
      </x:c>
      <x:c r="N164" t="inlineStr">
        <x:is>
          <x:t xml:space="preserve">Single market</x:t>
        </x:is>
      </x:c>
      <x:c r="O164" t="n">
        <x:v>2</x:v>
      </x:c>
      <x:c r="P164" t="n">
        <x:v>2</x:v>
      </x:c>
      <x:c r="Q164" t="n">
        <x:v>4</x:v>
      </x:c>
      <x:c r="R164" t="inlineStr">
        <x:is>
          <x:t xml:space="preserve">Low</x:t>
        </x:is>
      </x:c>
      <x:c r="S164" t="inlineStr">
        <x:is>
          <x:t xml:space="preserve">Commercial Legal</x:t>
        </x:is>
      </x:c>
      <x:c r="T164" s="9" t="n">
        <x:v>46331</x:v>
      </x:c>
      <x:c r="U164" t="inlineStr">
        <x:is>
          <x:t xml:space="preserve">In review</x:t>
        </x:is>
      </x:c>
      <x:c r="V164" t="inlineStr">
        <x:is>
          <x:t xml:space="preserve">No</x:t>
        </x:is>
      </x:c>
      <x:c r="W164" t="n">
        <x:v>90</x:v>
      </x:c>
      <x:c r="X164" t="inlineStr">
        <x:is>
          <x:t xml:space="preserve">Synthetic - CIE training only</x:t>
        </x:is>
      </x:c>
    </x:row>
    <x:row r="165">
      <x:c r="A165" t="inlineStr">
        <x:is>
          <x:t xml:space="preserve">LGL-26-0160</x:t>
        </x:is>
      </x:c>
      <x:c r="B165" s="9" t="n">
        <x:v>46273</x:v>
      </x:c>
      <x:c r="C165" t="inlineStr">
        <x:is>
          <x:t xml:space="preserve">Q3 2026</x:t>
        </x:is>
      </x:c>
      <x:c r="D165" t="inlineStr">
        <x:is>
          <x:t xml:space="preserve">Brazil</x:t>
        </x:is>
      </x:c>
      <x:c r="E165" t="inlineStr">
        <x:is>
          <x:t xml:space="preserve">Americas</x:t>
        </x:is>
      </x:c>
      <x:c r="F165" t="inlineStr">
        <x:is>
          <x:t xml:space="preserve">Procurement</x:t>
        </x:is>
      </x:c>
      <x:c r="G165" t="inlineStr">
        <x:is>
          <x:t xml:space="preserve">Software licence</x:t>
        </x:is>
      </x:c>
      <x:c r="H165" t="inlineStr">
        <x:is>
          <x:t xml:space="preserve">Technology vendor</x:t>
        </x:is>
      </x:c>
      <x:c r="I165" t="inlineStr">
        <x:is>
          <x:t xml:space="preserve">Arcbridge Cloud Ltd</x:t>
        </x:is>
      </x:c>
      <x:c r="J165" t="inlineStr">
        <x:is>
          <x:t xml:space="preserve">Confidentiality</x:t>
        </x:is>
      </x:c>
      <x:c r="K165" t="inlineStr">
        <x:is>
          <x:t xml:space="preserve">None</x:t>
        </x:is>
      </x:c>
      <x:c r="L165" t="inlineStr">
        <x:is>
          <x:t xml:space="preserve">Business confidential</x:t>
        </x:is>
      </x:c>
      <x:c r="M165" t="inlineStr">
        <x:is>
          <x:t xml:space="preserve">None</x:t>
        </x:is>
      </x:c>
      <x:c r="N165" t="inlineStr">
        <x:is>
          <x:t xml:space="preserve">Multi-jurisdiction - counsel to assess</x:t>
        </x:is>
      </x:c>
      <x:c r="O165" t="n">
        <x:v>1</x:v>
      </x:c>
      <x:c r="P165" t="n">
        <x:v>3</x:v>
      </x:c>
      <x:c r="Q165" t="n">
        <x:v>3</x:v>
      </x:c>
      <x:c r="R165" t="inlineStr">
        <x:is>
          <x:t xml:space="preserve">Low</x:t>
        </x:is>
      </x:c>
      <x:c r="S165" t="inlineStr">
        <x:is>
          <x:t xml:space="preserve">Commercial Legal</x:t>
        </x:is>
      </x:c>
      <x:c r="T165" s="9" t="n">
        <x:v>46323</x:v>
      </x:c>
      <x:c r="U165" t="inlineStr">
        <x:is>
          <x:t xml:space="preserve">In review</x:t>
        </x:is>
      </x:c>
      <x:c r="V165" t="inlineStr">
        <x:is>
          <x:t xml:space="preserve">No</x:t>
        </x:is>
      </x:c>
      <x:c r="W165" t="n">
        <x:v>38</x:v>
      </x:c>
      <x:c r="X165" t="inlineStr">
        <x:is>
          <x:t xml:space="preserve">Synthetic - CIE training only</x:t>
        </x:is>
      </x:c>
    </x:row>
    <x:row r="166">
      <x:c r="A166" t="inlineStr">
        <x:is>
          <x:t xml:space="preserve">LGL-26-0161</x:t>
        </x:is>
      </x:c>
      <x:c r="B166" s="9" t="n">
        <x:v>46251</x:v>
      </x:c>
      <x:c r="C166" t="inlineStr">
        <x:is>
          <x:t xml:space="preserve">Q3 2026</x:t>
        </x:is>
      </x:c>
      <x:c r="D166" t="inlineStr">
        <x:is>
          <x:t xml:space="preserve">Germany</x:t>
        </x:is>
      </x:c>
      <x:c r="E166" t="inlineStr">
        <x:is>
          <x:t xml:space="preserve">Europe</x:t>
        </x:is>
      </x:c>
      <x:c r="F166" t="inlineStr">
        <x:is>
          <x:t xml:space="preserve">Operations</x:t>
        </x:is>
      </x:c>
      <x:c r="G166" t="inlineStr">
        <x:is>
          <x:t xml:space="preserve">NDA</x:t>
        </x:is>
      </x:c>
      <x:c r="H166" t="inlineStr">
        <x:is>
          <x:t xml:space="preserve">Consultancy</x:t>
        </x:is>
      </x:c>
      <x:c r="I166" t="inlineStr">
        <x:is>
          <x:t xml:space="preserve">Oakhurst Consulting LLP</x:t>
        </x:is>
      </x:c>
      <x:c r="J166" t="inlineStr">
        <x:is>
          <x:t xml:space="preserve">Confidentiality</x:t>
        </x:is>
      </x:c>
      <x:c r="K166" t="inlineStr">
        <x:is>
          <x:t xml:space="preserve">None</x:t>
        </x:is>
      </x:c>
      <x:c r="L166" t="inlineStr">
        <x:is>
          <x:t xml:space="preserve">Business confidential</x:t>
        </x:is>
      </x:c>
      <x:c r="M166" t="inlineStr">
        <x:is>
          <x:t xml:space="preserve">None</x:t>
        </x:is>
      </x:c>
      <x:c r="N166" t="inlineStr">
        <x:is>
          <x:t xml:space="preserve">Multi-jurisdiction - counsel to assess</x:t>
        </x:is>
      </x:c>
      <x:c r="O166" t="n">
        <x:v>1</x:v>
      </x:c>
      <x:c r="P166" t="n">
        <x:v>1</x:v>
      </x:c>
      <x:c r="Q166" t="n">
        <x:v>1</x:v>
      </x:c>
      <x:c r="R166" t="inlineStr">
        <x:is>
          <x:t xml:space="preserve">Low</x:t>
        </x:is>
      </x:c>
      <x:c r="S166" t="inlineStr">
        <x:is>
          <x:t xml:space="preserve">Commercial Legal</x:t>
        </x:is>
      </x:c>
      <x:c r="T166" s="9" t="n">
        <x:v>46323</x:v>
      </x:c>
      <x:c r="U166" t="inlineStr">
        <x:is>
          <x:t xml:space="preserve">In review</x:t>
        </x:is>
      </x:c>
      <x:c r="V166" t="inlineStr">
        <x:is>
          <x:t xml:space="preserve">No</x:t>
        </x:is>
      </x:c>
      <x:c r="W166" t="n">
        <x:v>60</x:v>
      </x:c>
      <x:c r="X166" t="inlineStr">
        <x:is>
          <x:t xml:space="preserve">Synthetic - CIE training only</x:t>
        </x:is>
      </x:c>
    </x:row>
    <x:row r="167">
      <x:c r="A167" t="inlineStr">
        <x:is>
          <x:t xml:space="preserve">LGL-26-0162</x:t>
        </x:is>
      </x:c>
      <x:c r="B167" s="9" t="n">
        <x:v>46237</x:v>
      </x:c>
      <x:c r="C167" t="inlineStr">
        <x:is>
          <x:t xml:space="preserve">Q3 2026</x:t>
        </x:is>
      </x:c>
      <x:c r="D167" t="inlineStr">
        <x:is>
          <x:t xml:space="preserve">Poland</x:t>
        </x:is>
      </x:c>
      <x:c r="E167" t="inlineStr">
        <x:is>
          <x:t xml:space="preserve">Europe</x:t>
        </x:is>
      </x:c>
      <x:c r="F167" t="inlineStr">
        <x:is>
          <x:t xml:space="preserve">Finance</x:t>
        </x:is>
      </x:c>
      <x:c r="G167" t="inlineStr">
        <x:is>
          <x:t xml:space="preserve">Data sharing agreement</x:t>
        </x:is>
      </x:c>
      <x:c r="H167" t="inlineStr">
        <x:is>
          <x:t xml:space="preserve">AI/analytics vendor</x:t>
        </x:is>
      </x:c>
      <x:c r="I167" t="inlineStr">
        <x:is>
          <x:t xml:space="preserve">Brightfold Data Pte</x:t>
        </x:is>
      </x:c>
      <x:c r="J167" t="inlineStr">
        <x:is>
          <x:t xml:space="preserve">Data use / model training</x:t>
        </x:is>
      </x:c>
      <x:c r="K167" t="inlineStr">
        <x:is>
          <x:t xml:space="preserve">Critical</x:t>
        </x:is>
      </x:c>
      <x:c r="L167" t="inlineStr">
        <x:is>
          <x:t xml:space="preserve">Personal data - consumer (adult)</x:t>
        </x:is>
      </x:c>
      <x:c r="M167" t="inlineStr">
        <x:is>
          <x:t xml:space="preserve">AI-enabled feature</x:t>
        </x:is>
      </x:c>
      <x:c r="N167" t="inlineStr">
        <x:is>
          <x:t xml:space="preserve">Single market</x:t>
        </x:is>
      </x:c>
      <x:c r="O167" t="n">
        <x:v>3</x:v>
      </x:c>
      <x:c r="P167" t="n">
        <x:v>4</x:v>
      </x:c>
      <x:c r="Q167" t="n">
        <x:v>12</x:v>
      </x:c>
      <x:c r="R167" t="inlineStr">
        <x:is>
          <x:t xml:space="preserve">High</x:t>
        </x:is>
      </x:c>
      <x:c r="S167" t="inlineStr">
        <x:is>
          <x:t xml:space="preserve">AI Governance Panel</x:t>
        </x:is>
      </x:c>
      <x:c r="T167" s="9" t="n">
        <x:v>46328</x:v>
      </x:c>
      <x:c r="U167" t="inlineStr">
        <x:is>
          <x:t xml:space="preserve">In review</x:t>
        </x:is>
      </x:c>
      <x:c r="V167" t="inlineStr">
        <x:is>
          <x:t xml:space="preserve">Yes</x:t>
        </x:is>
      </x:c>
      <x:c r="W167" t="n">
        <x:v>74</x:v>
      </x:c>
      <x:c r="X167" t="inlineStr">
        <x:is>
          <x:t xml:space="preserve">Synthetic - CIE training only</x:t>
        </x:is>
      </x:c>
    </x:row>
    <x:row r="168">
      <x:c r="A168" t="inlineStr">
        <x:is>
          <x:t xml:space="preserve">LGL-26-0163</x:t>
        </x:is>
      </x:c>
      <x:c r="B168" s="9" t="n">
        <x:v>46236</x:v>
      </x:c>
      <x:c r="C168" t="inlineStr">
        <x:is>
          <x:t xml:space="preserve">Q3 2026</x:t>
        </x:is>
      </x:c>
      <x:c r="D168" t="inlineStr">
        <x:is>
          <x:t xml:space="preserve">South Africa</x:t>
        </x:is>
      </x:c>
      <x:c r="E168" t="inlineStr">
        <x:is>
          <x:t xml:space="preserve">Middle East &amp; Africa</x:t>
        </x:is>
      </x:c>
      <x:c r="F168" t="inlineStr">
        <x:is>
          <x:t xml:space="preserve">Procurement</x:t>
        </x:is>
      </x:c>
      <x:c r="G168" t="inlineStr">
        <x:is>
          <x:t xml:space="preserve">Professional services</x:t>
        </x:is>
      </x:c>
      <x:c r="H168" t="inlineStr">
        <x:is>
          <x:t xml:space="preserve">Technology vendor</x:t>
        </x:is>
      </x:c>
      <x:c r="I168" t="inlineStr">
        <x:is>
          <x:t xml:space="preserve">Pinemark Software Ltd</x:t>
        </x:is>
      </x:c>
      <x:c r="J168" t="inlineStr">
        <x:is>
          <x:t xml:space="preserve">Sub-processors</x:t>
        </x:is>
      </x:c>
      <x:c r="K168" t="inlineStr">
        <x:is>
          <x:t xml:space="preserve">None</x:t>
        </x:is>
      </x:c>
      <x:c r="L168" t="inlineStr">
        <x:is>
          <x:t xml:space="preserve">None / public</x:t>
        </x:is>
      </x:c>
      <x:c r="M168" t="inlineStr">
        <x:is>
          <x:t xml:space="preserve">None</x:t>
        </x:is>
      </x:c>
      <x:c r="N168" t="inlineStr">
        <x:is>
          <x:t xml:space="preserve">Single market</x:t>
        </x:is>
      </x:c>
      <x:c r="O168" t="n">
        <x:v>1</x:v>
      </x:c>
      <x:c r="P168" t="n">
        <x:v>3</x:v>
      </x:c>
      <x:c r="Q168" t="n">
        <x:v>3</x:v>
      </x:c>
      <x:c r="R168" t="inlineStr">
        <x:is>
          <x:t xml:space="preserve">Low</x:t>
        </x:is>
      </x:c>
      <x:c r="S168" t="inlineStr">
        <x:is>
          <x:t xml:space="preserve">Privacy Office</x:t>
        </x:is>
      </x:c>
      <x:c r="T168" s="9" t="n">
        <x:v>46323</x:v>
      </x:c>
      <x:c r="U168" t="inlineStr">
        <x:is>
          <x:t xml:space="preserve">In review</x:t>
        </x:is>
      </x:c>
      <x:c r="V168" t="inlineStr">
        <x:is>
          <x:t xml:space="preserve">No</x:t>
        </x:is>
      </x:c>
      <x:c r="W168" t="n">
        <x:v>75</x:v>
      </x:c>
      <x:c r="X168" t="inlineStr">
        <x:is>
          <x:t xml:space="preserve">Synthetic - CIE training only</x:t>
        </x:is>
      </x:c>
    </x:row>
    <x:row r="169">
      <x:c r="A169" t="inlineStr">
        <x:is>
          <x:t xml:space="preserve">LGL-26-0164</x:t>
        </x:is>
      </x:c>
      <x:c r="B169" s="9" t="n">
        <x:v>46284</x:v>
      </x:c>
      <x:c r="C169" t="inlineStr">
        <x:is>
          <x:t xml:space="preserve">Q3 2026</x:t>
        </x:is>
      </x:c>
      <x:c r="D169" t="inlineStr">
        <x:is>
          <x:t xml:space="preserve">Japan</x:t>
        </x:is>
      </x:c>
      <x:c r="E169" t="inlineStr">
        <x:is>
          <x:t xml:space="preserve">Asia-Pacific</x:t>
        </x:is>
      </x:c>
      <x:c r="F169" t="inlineStr">
        <x:is>
          <x:t xml:space="preserve">Operations</x:t>
        </x:is>
      </x:c>
      <x:c r="G169" t="inlineStr">
        <x:is>
          <x:t xml:space="preserve">SaaS / Cloud services</x:t>
        </x:is>
      </x:c>
      <x:c r="H169" t="inlineStr">
        <x:is>
          <x:t xml:space="preserve">Technology vendor</x:t>
        </x:is>
      </x:c>
      <x:c r="I169" t="inlineStr">
        <x:is>
          <x:t xml:space="preserve">Pinemark Software Ltd</x:t>
        </x:is>
      </x:c>
      <x:c r="J169" t="inlineStr">
        <x:is>
          <x:t xml:space="preserve">Data use / model training</x:t>
        </x:is>
      </x:c>
      <x:c r="K169" t="inlineStr">
        <x:is>
          <x:t xml:space="preserve">Minor</x:t>
        </x:is>
      </x:c>
      <x:c r="L169" t="inlineStr">
        <x:is>
          <x:t xml:space="preserve">Personal data - consumer (adult)</x:t>
        </x:is>
      </x:c>
      <x:c r="M169" t="inlineStr">
        <x:is>
          <x:t xml:space="preserve">Model training on BAT data</x:t>
        </x:is>
      </x:c>
      <x:c r="N169" t="inlineStr">
        <x:is>
          <x:t xml:space="preserve">Emerging AI regulation - counsel to assess</x:t>
        </x:is>
      </x:c>
      <x:c r="O169" t="n">
        <x:v>4</x:v>
      </x:c>
      <x:c r="P169" t="n">
        <x:v>3</x:v>
      </x:c>
      <x:c r="Q169" t="n">
        <x:v>12</x:v>
      </x:c>
      <x:c r="R169" t="inlineStr">
        <x:is>
          <x:t xml:space="preserve">High</x:t>
        </x:is>
      </x:c>
      <x:c r="S169" t="inlineStr">
        <x:is>
          <x:t xml:space="preserve">AI Governance Panel</x:t>
        </x:is>
      </x:c>
      <x:c r="T169" s="9" t="n">
        <x:v>46320</x:v>
      </x:c>
      <x:c r="U169" t="inlineStr">
        <x:is>
          <x:t xml:space="preserve">In review</x:t>
        </x:is>
      </x:c>
      <x:c r="V169" t="inlineStr">
        <x:is>
          <x:t xml:space="preserve">No</x:t>
        </x:is>
      </x:c>
      <x:c r="W169" t="n">
        <x:v>27</x:v>
      </x:c>
      <x:c r="X169" t="inlineStr">
        <x:is>
          <x:t xml:space="preserve">Synthetic - CIE training only</x:t>
        </x:is>
      </x:c>
    </x:row>
    <x:row r="170">
      <x:c r="A170" t="inlineStr">
        <x:is>
          <x:t xml:space="preserve">LGL-26-0165</x:t>
        </x:is>
      </x:c>
      <x:c r="B170" s="9" t="n">
        <x:v>46215</x:v>
      </x:c>
      <x:c r="C170" t="inlineStr">
        <x:is>
          <x:t xml:space="preserve">Q3 2026</x:t>
        </x:is>
      </x:c>
      <x:c r="D170" t="inlineStr">
        <x:is>
          <x:t xml:space="preserve">Japan</x:t>
        </x:is>
      </x:c>
      <x:c r="E170" t="inlineStr">
        <x:is>
          <x:t xml:space="preserve">Asia-Pacific</x:t>
        </x:is>
      </x:c>
      <x:c r="F170" t="inlineStr">
        <x:is>
          <x:t xml:space="preserve">Corporate Affairs</x:t>
        </x:is>
      </x:c>
      <x:c r="G170" t="inlineStr">
        <x:is>
          <x:t xml:space="preserve">Professional services</x:t>
        </x:is>
      </x:c>
      <x:c r="H170" t="inlineStr">
        <x:is>
          <x:t xml:space="preserve">Consultancy</x:t>
        </x:is>
      </x:c>
      <x:c r="I170" t="inlineStr">
        <x:is>
          <x:t xml:space="preserve">Oakhurst Consulting LLP</x:t>
        </x:is>
      </x:c>
      <x:c r="J170" t="inlineStr">
        <x:is>
          <x:t xml:space="preserve">Limitation of liability</x:t>
        </x:is>
      </x:c>
      <x:c r="K170" t="inlineStr">
        <x:is>
          <x:t xml:space="preserve">Minor</x:t>
        </x:is>
      </x:c>
      <x:c r="L170" t="inlineStr">
        <x:is>
          <x:t xml:space="preserve">Business confidential</x:t>
        </x:is>
      </x:c>
      <x:c r="M170" t="inlineStr">
        <x:is>
          <x:t xml:space="preserve">None</x:t>
        </x:is>
      </x:c>
      <x:c r="N170" t="inlineStr">
        <x:is>
          <x:t xml:space="preserve">Single market</x:t>
        </x:is>
      </x:c>
      <x:c r="O170" t="n">
        <x:v>1</x:v>
      </x:c>
      <x:c r="P170" t="n">
        <x:v>1</x:v>
      </x:c>
      <x:c r="Q170" t="n">
        <x:v>1</x:v>
      </x:c>
      <x:c r="R170" t="inlineStr">
        <x:is>
          <x:t xml:space="preserve">Low</x:t>
        </x:is>
      </x:c>
      <x:c r="S170" t="inlineStr">
        <x:is>
          <x:t xml:space="preserve">Commercial Legal</x:t>
        </x:is>
      </x:c>
      <x:c r="T170" s="9" t="n">
        <x:v>46315</x:v>
      </x:c>
      <x:c r="U170" t="inlineStr">
        <x:is>
          <x:t xml:space="preserve">In triage</x:t>
        </x:is>
      </x:c>
      <x:c r="V170" t="inlineStr">
        <x:is>
          <x:t xml:space="preserve">No</x:t>
        </x:is>
      </x:c>
      <x:c r="W170" t="n">
        <x:v>96</x:v>
      </x:c>
      <x:c r="X170" t="inlineStr">
        <x:is>
          <x:t xml:space="preserve">Synthetic - CIE training only</x:t>
        </x:is>
      </x:c>
    </x:row>
    <x:row r="171">
      <x:c r="A171" t="inlineStr">
        <x:is>
          <x:t xml:space="preserve">LGL-26-0166</x:t>
        </x:is>
      </x:c>
      <x:c r="B171" s="9" t="n">
        <x:v>46238</x:v>
      </x:c>
      <x:c r="C171" t="inlineStr">
        <x:is>
          <x:t xml:space="preserve">Q3 2026</x:t>
        </x:is>
      </x:c>
      <x:c r="D171" t="inlineStr">
        <x:is>
          <x:t xml:space="preserve">Mexico</x:t>
        </x:is>
      </x:c>
      <x:c r="E171" t="inlineStr">
        <x:is>
          <x:t xml:space="preserve">Americas</x:t>
        </x:is>
      </x:c>
      <x:c r="F171" t="inlineStr">
        <x:is>
          <x:t xml:space="preserve">Digital &amp; IT</x:t>
        </x:is>
      </x:c>
      <x:c r="G171" t="inlineStr">
        <x:is>
          <x:t xml:space="preserve">AI use request (internal)</x:t>
        </x:is>
      </x:c>
      <x:c r="H171" t="inlineStr">
        <x:is>
          <x:t xml:space="preserve">Internal (no counterparty)</x:t>
        </x:is>
      </x:c>
      <x:c r="I171" t="inlineStr">
        <x:is>
          <x:t xml:space="preserve">Internal request</x:t>
        </x:is>
      </x:c>
      <x:c r="J171" t="inlineStr">
        <x:is>
          <x:t xml:space="preserve">Sub-processors</x:t>
        </x:is>
      </x:c>
      <x:c r="K171" t="inlineStr">
        <x:is>
          <x:t xml:space="preserve">Major</x:t>
        </x:is>
      </x:c>
      <x:c r="L171" t="inlineStr">
        <x:is>
          <x:t xml:space="preserve">Business confidential</x:t>
        </x:is>
      </x:c>
      <x:c r="M171" t="inlineStr">
        <x:is>
          <x:t xml:space="preserve">Model training on BAT data</x:t>
        </x:is>
      </x:c>
      <x:c r="N171" t="inlineStr">
        <x:is>
          <x:t xml:space="preserve">Emerging AI regulation - counsel to assess</x:t>
        </x:is>
      </x:c>
      <x:c r="O171" t="n">
        <x:v>4</x:v>
      </x:c>
      <x:c r="P171" t="n">
        <x:v>3</x:v>
      </x:c>
      <x:c r="Q171" t="n">
        <x:v>12</x:v>
      </x:c>
      <x:c r="R171" t="inlineStr">
        <x:is>
          <x:t xml:space="preserve">High</x:t>
        </x:is>
      </x:c>
      <x:c r="S171" t="inlineStr">
        <x:is>
          <x:t xml:space="preserve">Privacy Office</x:t>
        </x:is>
      </x:c>
      <x:c r="T171" s="9" t="n">
        <x:v>46252</x:v>
      </x:c>
      <x:c r="U171" t="inlineStr">
        <x:is>
          <x:t xml:space="preserve">Closed</x:t>
        </x:is>
      </x:c>
      <x:c r="V171" t="inlineStr">
        <x:is>
          <x:t xml:space="preserve">No</x:t>
        </x:is>
      </x:c>
      <x:c r="W171" t="n">
        <x:v>32</x:v>
      </x:c>
      <x:c r="X171" t="inlineStr">
        <x:is>
          <x:t xml:space="preserve">Synthetic - CIE training only</x:t>
        </x:is>
      </x:c>
    </x:row>
    <x:row r="172">
      <x:c r="A172" t="inlineStr">
        <x:is>
          <x:t xml:space="preserve">LGL-26-0167</x:t>
        </x:is>
      </x:c>
      <x:c r="B172" s="9" t="n">
        <x:v>46248</x:v>
      </x:c>
      <x:c r="C172" t="inlineStr">
        <x:is>
          <x:t xml:space="preserve">Q3 2026</x:t>
        </x:is>
      </x:c>
      <x:c r="D172" t="inlineStr">
        <x:is>
          <x:t xml:space="preserve">Japan</x:t>
        </x:is>
      </x:c>
      <x:c r="E172" t="inlineStr">
        <x:is>
          <x:t xml:space="preserve">Asia-Pacific</x:t>
        </x:is>
      </x:c>
      <x:c r="F172" t="inlineStr">
        <x:is>
          <x:t xml:space="preserve">HR</x:t>
        </x:is>
      </x:c>
      <x:c r="G172" t="inlineStr">
        <x:is>
          <x:t xml:space="preserve">Distribution agreement</x:t>
        </x:is>
      </x:c>
      <x:c r="H172" t="inlineStr">
        <x:is>
          <x:t xml:space="preserve">Distributor</x:t>
        </x:is>
      </x:c>
      <x:c r="I172" t="inlineStr">
        <x:is>
          <x:t xml:space="preserve">Granite Coast Distribution</x:t>
        </x:is>
      </x:c>
      <x:c r="J172" t="inlineStr">
        <x:is>
          <x:t xml:space="preserve">Confidentiality</x:t>
        </x:is>
      </x:c>
      <x:c r="K172" t="inlineStr">
        <x:is>
          <x:t xml:space="preserve">Minor</x:t>
        </x:is>
      </x:c>
      <x:c r="L172" t="inlineStr">
        <x:is>
          <x:t xml:space="preserve">Business confidential</x:t>
        </x:is>
      </x:c>
      <x:c r="M172" t="inlineStr">
        <x:is>
          <x:t xml:space="preserve">None</x:t>
        </x:is>
      </x:c>
      <x:c r="N172" t="inlineStr">
        <x:is>
          <x:t xml:space="preserve">Single market</x:t>
        </x:is>
      </x:c>
      <x:c r="O172" t="n">
        <x:v>3</x:v>
      </x:c>
      <x:c r="P172" t="n">
        <x:v>2</x:v>
      </x:c>
      <x:c r="Q172" t="n">
        <x:v>6</x:v>
      </x:c>
      <x:c r="R172" t="inlineStr">
        <x:is>
          <x:t xml:space="preserve">Medium</x:t>
        </x:is>
      </x:c>
      <x:c r="S172" t="inlineStr">
        <x:is>
          <x:t xml:space="preserve">Commercial Legal</x:t>
        </x:is>
      </x:c>
      <x:c r="T172" s="9" t="n">
        <x:v>46331</x:v>
      </x:c>
      <x:c r="U172" t="inlineStr">
        <x:is>
          <x:t xml:space="preserve">In review</x:t>
        </x:is>
      </x:c>
      <x:c r="V172" t="inlineStr">
        <x:is>
          <x:t xml:space="preserve">No</x:t>
        </x:is>
      </x:c>
      <x:c r="W172" t="n">
        <x:v>63</x:v>
      </x:c>
      <x:c r="X172" t="inlineStr">
        <x:is>
          <x:t xml:space="preserve">Synthetic - CIE training only</x:t>
        </x:is>
      </x:c>
    </x:row>
    <x:row r="173">
      <x:c r="A173" t="inlineStr">
        <x:is>
          <x:t xml:space="preserve">LGL-26-0168</x:t>
        </x:is>
      </x:c>
      <x:c r="B173" s="9" t="n">
        <x:v>46225</x:v>
      </x:c>
      <x:c r="C173" t="inlineStr">
        <x:is>
          <x:t xml:space="preserve">Q3 2026</x:t>
        </x:is>
      </x:c>
      <x:c r="D173" t="inlineStr">
        <x:is>
          <x:t xml:space="preserve">Germany</x:t>
        </x:is>
      </x:c>
      <x:c r="E173" t="inlineStr">
        <x:is>
          <x:t xml:space="preserve">Europe</x:t>
        </x:is>
      </x:c>
      <x:c r="F173" t="inlineStr">
        <x:is>
          <x:t xml:space="preserve">Corporate Affairs</x:t>
        </x:is>
      </x:c>
      <x:c r="G173" t="inlineStr">
        <x:is>
          <x:t xml:space="preserve">Professional services</x:t>
        </x:is>
      </x:c>
      <x:c r="H173" t="inlineStr">
        <x:is>
          <x:t xml:space="preserve">Technology vendor</x:t>
        </x:is>
      </x:c>
      <x:c r="I173" t="inlineStr">
        <x:is>
          <x:t xml:space="preserve">Halcyon Workflow Inc</x:t>
        </x:is>
      </x:c>
      <x:c r="J173" t="inlineStr">
        <x:is>
          <x:t xml:space="preserve">Sub-processors</x:t>
        </x:is>
      </x:c>
      <x:c r="K173" t="inlineStr">
        <x:is>
          <x:t xml:space="preserve">None</x:t>
        </x:is>
      </x:c>
      <x:c r="L173" t="inlineStr">
        <x:is>
          <x:t xml:space="preserve">Business confidential</x:t>
        </x:is>
      </x:c>
      <x:c r="M173" t="inlineStr">
        <x:is>
          <x:t xml:space="preserve">Generative AI output</x:t>
        </x:is>
      </x:c>
      <x:c r="N173" t="inlineStr">
        <x:is>
          <x:t xml:space="preserve">Single market</x:t>
        </x:is>
      </x:c>
      <x:c r="O173" t="n">
        <x:v>1</x:v>
      </x:c>
      <x:c r="P173" t="n">
        <x:v>2</x:v>
      </x:c>
      <x:c r="Q173" t="n">
        <x:v>2</x:v>
      </x:c>
      <x:c r="R173" t="inlineStr">
        <x:is>
          <x:t xml:space="preserve">Low</x:t>
        </x:is>
      </x:c>
      <x:c r="S173" t="inlineStr">
        <x:is>
          <x:t xml:space="preserve">Privacy Office</x:t>
        </x:is>
      </x:c>
      <x:c r="T173" s="9" t="n">
        <x:v>46321</x:v>
      </x:c>
      <x:c r="U173" t="inlineStr">
        <x:is>
          <x:t xml:space="preserve">In review</x:t>
        </x:is>
      </x:c>
      <x:c r="V173" t="inlineStr">
        <x:is>
          <x:t xml:space="preserve">No</x:t>
        </x:is>
      </x:c>
      <x:c r="W173" t="n">
        <x:v>86</x:v>
      </x:c>
      <x:c r="X173" t="inlineStr">
        <x:is>
          <x:t xml:space="preserve">Synthetic - CIE training only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65e51b2c2ad46c6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30" customWidth="1"/>
    <x:col min="3" max="3" width="34" customWidth="1"/>
    <x:col min="4" max="4" width="12" customWidth="1"/>
    <x:col min="5" max="5" width="12" customWidth="1"/>
    <x:col min="6" max="6" width="80" customWidth="1"/>
  </x:cols>
  <x:sheetData>
    <x:row r="1">
      <x:c r="A1" s="1" t="inlineStr">
        <x:is>
          <x:t xml:space="preserve">Facilitator Summary - seeded insights (live formulas)</x:t>
        </x:is>
      </x:c>
    </x:row>
    <x:row r="2">
      <x:c r="A2" s="2" t="inlineStr">
        <x:is>
          <x:t xml:space="preserve">All values recalculate from Intake_Register. Answer key states the expected Copilot finding. As-of date 16 Oct 2026.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  <x:c r="E3" s="4" t="n"/>
      <x:c r="F3" s="4" t="n"/>
    </x:row>
    <x:row r="5">
      <x:c r="A5" s="7" t="inlineStr">
        <x:is>
          <x:t xml:space="preserve">No.</x:t>
        </x:is>
      </x:c>
      <x:c r="B5" s="7" t="inlineStr">
        <x:is>
          <x:t xml:space="preserve">Insight theme</x:t>
        </x:is>
      </x:c>
      <x:c r="C5" s="7" t="inlineStr">
        <x:is>
          <x:t xml:space="preserve">Formula metric</x:t>
        </x:is>
      </x:c>
      <x:c r="D5" s="7" t="inlineStr">
        <x:is>
          <x:t xml:space="preserve">Value</x:t>
        </x:is>
      </x:c>
      <x:c r="E5" s="7" t="inlineStr">
        <x:is>
          <x:t xml:space="preserve">Comparison</x:t>
        </x:is>
      </x:c>
      <x:c r="F5" s="7" t="inlineStr">
        <x:is>
          <x:t xml:space="preserve">Answer key (expected finding)</x:t>
        </x:is>
      </x:c>
    </x:row>
    <x:row r="6" ht="62" customHeight="1">
      <x:c r="A6" s="8" t="n">
        <x:v>1</x:v>
      </x:c>
      <x:c r="B6" s="8" t="inlineStr">
        <x:is>
          <x:t xml:space="preserve">AI-related intake rising</x:t>
        </x:is>
      </x:c>
      <x:c r="C6" s="8" t="inlineStr">
        <x:is>
          <x:t xml:space="preserve">AI share Q1 -&gt; Q3 2026</x:t>
        </x:is>
      </x:c>
      <x:c r="D6" s="10">
        <x:f>COUNTIFS(Intake_Register!$C$6:$C$173,"Q1 2026",Intake_Register!$M$6:$M$173,"&lt;&gt;None")/COUNTIFS(Intake_Register!$C$6:$C$173,"Q1 2026")</x:f>
      </x:c>
      <x:c r="E6" s="10">
        <x:f>COUNTIFS(Intake_Register!$C$6:$C$173,"Q3 2026",Intake_Register!$M$6:$M$173,"&lt;&gt;None")/COUNTIFS(Intake_Register!$C$6:$C$173,"Q3 2026")</x:f>
      </x:c>
      <x:c r="F6" s="8" t="inlineStr">
        <x:is>
          <x:t xml:space="preserve">Requests with AI_Use other than 'None' rose from 12.5% in Q1 2026 (7 of 56) to 50.0% in Q2 (28 of 56) and 60.7% in Q3 (34 of 56).</x:t>
        </x:is>
      </x:c>
    </x:row>
    <x:row r="7" ht="62" customHeight="1">
      <x:c r="A7" s="8" t="n">
        <x:v>2</x:v>
      </x:c>
      <x:c r="B7" s="8" t="inlineStr">
        <x:is>
          <x:t xml:space="preserve">Data use / model training hardest clause</x:t>
        </x:is>
      </x:c>
      <x:c r="C7" s="8" t="inlineStr">
        <x:is>
          <x:t xml:space="preserve">Major+Critical rate: Data use / model training vs Sub-processors</x:t>
        </x:is>
      </x:c>
      <x:c r="D7" s="10">
        <x:f>(COUNTIFS(Intake_Register!$J$6:$J$173,"Data use / model training",Intake_Register!$K$6:$K$173,"Major")+COUNTIFS(Intake_Register!$J$6:$J$173,"Data use / model training",Intake_Register!$K$6:$K$173,"Critical"))/COUNTIFS(Intake_Register!$J$6:$J$173,"Data use / model training")</x:f>
      </x:c>
      <x:c r="E7" s="10">
        <x:f>(COUNTIFS(Intake_Register!$J$6:$J$173,"Sub-processors",Intake_Register!$K$6:$K$173,"Major")+COUNTIFS(Intake_Register!$J$6:$J$173,"Sub-processors",Intake_Register!$K$6:$K$173,"Critical"))/COUNTIFS(Intake_Register!$J$6:$J$173,"Sub-processors")</x:f>
      </x:c>
      <x:c r="F7" s="8" t="inlineStr">
        <x:is>
          <x:t xml:space="preserve">77.3% of 'Data use / model training' rows are Major or Critical deviations (17 of 22), versus 41.2% for the next highest clause, Sub-processors (7 of 17).</x:t>
        </x:is>
      </x:c>
    </x:row>
    <x:row r="8" ht="62" customHeight="1">
      <x:c r="A8" s="8" t="n">
        <x:v>3</x:v>
      </x:c>
      <x:c r="B8" s="8" t="inlineStr">
        <x:is>
          <x:t xml:space="preserve">Model training drives risk</x:t>
        </x:is>
      </x:c>
      <x:c r="C8" s="8" t="inlineStr">
        <x:is>
          <x:t xml:space="preserve">Avg Risk_Score: Model training on BAT data vs None</x:t>
        </x:is>
      </x:c>
      <x:c r="D8" s="11">
        <x:f>AVERAGEIFS(Intake_Register!$Q$6:$Q$173,Intake_Register!$M$6:$M$173,"Model training on BAT data")</x:f>
      </x:c>
      <x:c r="E8" s="11">
        <x:f>AVERAGEIFS(Intake_Register!$Q$6:$Q$173,Intake_Register!$M$6:$M$173,"None")</x:f>
      </x:c>
      <x:c r="F8" s="8" t="inlineStr">
        <x:is>
          <x:t xml:space="preserve">Average Risk_Score is 13.5 for 'Model training on BAT data' (n=12) versus 4.3 where AI_Use = 'None' (n=99).</x:t>
        </x:is>
      </x:c>
    </x:row>
    <x:row r="9" ht="62" customHeight="1">
      <x:c r="A9" s="8" t="n">
        <x:v>4</x:v>
      </x:c>
      <x:c r="B9" s="8" t="inlineStr">
        <x:is>
          <x:t xml:space="preserve">Overdue = awaiting business</x:t>
        </x:is>
      </x:c>
      <x:c r="C9" s="8" t="inlineStr">
        <x:is>
          <x:t xml:space="preserve">Open past Due_Date vs of which Awaiting business info</x:t>
        </x:is>
      </x:c>
      <x:c r="D9" s="12">
        <x:f>COUNTIFS(Intake_Register!$U$6:$U$173,"&lt;&gt;Closed",Intake_Register!$T$6:$T$173,"&lt;"&amp;DATE(2026,10,16))</x:f>
      </x:c>
      <x:c r="E9" s="12">
        <x:f>COUNTIFS(Intake_Register!$U$6:$U$173,"Awaiting business info",Intake_Register!$T$6:$T$173,"&lt;"&amp;DATE(2026,10,16))</x:f>
      </x:c>
      <x:c r="F9" s="8" t="inlineStr">
        <x:is>
          <x:t xml:space="preserve">16 of 61 open requests are past Due_Date at the 16 Oct 2026 as-of date, and all 16 of them have Status 'Awaiting business info'.</x:t>
        </x:is>
      </x:c>
    </x:row>
    <x:row r="10" ht="62" customHeight="1">
      <x:c r="A10" s="8" t="n">
        <x:v>5</x:v>
      </x:c>
      <x:c r="B10" s="8" t="inlineStr">
        <x:is>
          <x:t xml:space="preserve">Escalation control gap</x:t>
        </x:is>
      </x:c>
      <x:c r="C10" s="8" t="inlineStr">
        <x:is>
          <x:t xml:space="preserve">Critical with Escalated = No vs all Critical</x:t>
        </x:is>
      </x:c>
      <x:c r="D10" s="12">
        <x:f>COUNTIFS(Intake_Register!$R$6:$R$173,"Critical",Intake_Register!$V$6:$V$173,"No")</x:f>
      </x:c>
      <x:c r="E10" s="12">
        <x:f>COUNTIFS(Intake_Register!$R$6:$R$173,"Critical")</x:f>
      </x:c>
      <x:c r="F10" s="8" t="inlineStr">
        <x:is>
          <x:t xml:space="preserve">4 of 7 Critical-risk requests show Escalated = 'No' (LGL-26-0052, LGL-26-0074, LGL-26-0108, LGL-26-0112); 2 of these are still open. The Escalation Guide requires every Critical item to be escalated.</x:t>
        </x:is>
      </x:c>
    </x:row>
    <x:row r="11" ht="62" customHeight="1">
      <x:c r="A11" s="8" t="n">
        <x:v>6</x:v>
      </x:c>
      <x:c r="B11" s="8" t="inlineStr">
        <x:is>
          <x:t xml:space="preserve">Counsel-to-assess slows closure</x:t>
        </x:is>
      </x:c>
      <x:c r="C11" s="8" t="inlineStr">
        <x:is>
          <x:t xml:space="preserve">Avg days to close: Emerging AI regulation vs Single market</x:t>
        </x:is>
      </x:c>
      <x:c r="D11" s="11">
        <x:f>AVERAGEIFS(Intake_Register!$W$6:$W$173,Intake_Register!$N$6:$N$173,"Emerging AI regulation - counsel to assess",Intake_Register!$U$6:$U$173,"Closed")</x:f>
      </x:c>
      <x:c r="E11" s="11">
        <x:f>AVERAGEIFS(Intake_Register!$W$6:$W$173,Intake_Register!$N$6:$N$173,"Single market",Intake_Register!$U$6:$U$173,"Closed")</x:f>
      </x:c>
      <x:c r="F11" s="8" t="inlineStr">
        <x:is>
          <x:t xml:space="preserve">Closed requests flagged 'Emerging AI regulation - counsel to assess' averaged 24.5 days open (n=27) and 'Multi-jurisdiction - counsel to assess' 24.0 days (n=6), versus 8.8 days for 'Single market' (n=64).</x:t>
        </x:is>
      </x:c>
    </x:row>
    <x:row r="12" ht="62" customHeight="1">
      <x:c r="A12" s="8" t="n">
        <x:v>7</x:v>
      </x:c>
      <x:c r="B12" s="8" t="inlineStr">
        <x:is>
          <x:t xml:space="preserve">AI vendors outsized deviation load</x:t>
        </x:is>
      </x:c>
      <x:c r="C12" s="8" t="inlineStr">
        <x:is>
          <x:t xml:space="preserve">AI/analytics vendor share: requests vs Major/Critical deviations</x:t>
        </x:is>
      </x:c>
      <x:c r="D12" s="10">
        <x:f>COUNTIFS(Intake_Register!$H$6:$H$173,"AI/analytics vendor")/COUNTA(Intake_Register!$A$6:$A$173)</x:f>
      </x:c>
      <x:c r="E12" s="10">
        <x:f>(COUNTIFS(Intake_Register!$H$6:$H$173,"AI/analytics vendor",Intake_Register!$K$6:$K$173,"Major")+COUNTIFS(Intake_Register!$H$6:$H$173,"AI/analytics vendor",Intake_Register!$K$6:$K$173,"Critical"))/(COUNTIFS(Intake_Register!$K$6:$K$173,"Major")+COUNTIFS(Intake_Register!$K$6:$K$173,"Critical"))</x:f>
      </x:c>
      <x:c r="F12" s="8" t="inlineStr">
        <x:is>
          <x:t xml:space="preserve">AI/analytics vendors are 18.5% of requests (31 of 168) but 28.0% of all Major/Critical deviations (14 of 50).</x:t>
        </x:is>
      </x:c>
    </x:row>
    <x:row r="14">
      <x:c r="A14" s="5" t="inlineStr">
        <x:is>
          <x:t xml:space="preserve">Support table A - AI-related share by quarter</x:t>
        </x:is>
      </x:c>
    </x:row>
    <x:row r="15">
      <x:c r="A15" s="7" t="inlineStr">
        <x:is>
          <x:t xml:space="preserve"/>
        </x:is>
      </x:c>
      <x:c r="B15" s="7" t="inlineStr">
        <x:is>
          <x:t xml:space="preserve">Quarter</x:t>
        </x:is>
      </x:c>
      <x:c r="C15" s="7" t="inlineStr">
        <x:is>
          <x:t xml:space="preserve">Requests</x:t>
        </x:is>
      </x:c>
      <x:c r="D15" s="7" t="inlineStr">
        <x:is>
          <x:t xml:space="preserve">AI-related</x:t>
        </x:is>
      </x:c>
      <x:c r="E15" s="7" t="inlineStr">
        <x:is>
          <x:t xml:space="preserve">AI share</x:t>
        </x:is>
      </x:c>
    </x:row>
    <x:row r="16">
      <x:c r="B16" s="13" t="inlineStr">
        <x:is>
          <x:t xml:space="preserve">Q1 2026</x:t>
        </x:is>
      </x:c>
      <x:c r="C16" s="13">
        <x:f>COUNTIFS(Intake_Register!$C$6:$C$173,B16)</x:f>
      </x:c>
      <x:c r="D16" s="13">
        <x:f>COUNTIFS(Intake_Register!$C$6:$C$173,B16,Intake_Register!$M$6:$M$173,"&lt;&gt;None")</x:f>
      </x:c>
      <x:c r="E16" s="14">
        <x:f>IFERROR(D16/C16,0)</x:f>
      </x:c>
    </x:row>
    <x:row r="17">
      <x:c r="B17" s="13" t="inlineStr">
        <x:is>
          <x:t xml:space="preserve">Q2 2026</x:t>
        </x:is>
      </x:c>
      <x:c r="C17" s="13">
        <x:f>COUNTIFS(Intake_Register!$C$6:$C$173,B17)</x:f>
      </x:c>
      <x:c r="D17" s="13">
        <x:f>COUNTIFS(Intake_Register!$C$6:$C$173,B17,Intake_Register!$M$6:$M$173,"&lt;&gt;None")</x:f>
      </x:c>
      <x:c r="E17" s="14">
        <x:f>IFERROR(D17/C17,0)</x:f>
      </x:c>
    </x:row>
    <x:row r="18">
      <x:c r="B18" s="13" t="inlineStr">
        <x:is>
          <x:t xml:space="preserve">Q3 2026</x:t>
        </x:is>
      </x:c>
      <x:c r="C18" s="13">
        <x:f>COUNTIFS(Intake_Register!$C$6:$C$173,B18)</x:f>
      </x:c>
      <x:c r="D18" s="13">
        <x:f>COUNTIFS(Intake_Register!$C$6:$C$173,B18,Intake_Register!$M$6:$M$173,"&lt;&gt;None")</x:f>
      </x:c>
      <x:c r="E18" s="14">
        <x:f>IFERROR(D18/C18,0)</x:f>
      </x:c>
    </x:row>
    <x:row r="19"/>
    <x:row r="20">
      <x:c r="A20" s="5" t="inlineStr">
        <x:is>
          <x:t xml:space="preserve">Support table B - Major/Critical deviation rate by Clause_Category</x:t>
        </x:is>
      </x:c>
    </x:row>
    <x:row r="21">
      <x:c r="A21" s="7" t="inlineStr">
        <x:is>
          <x:t xml:space="preserve"/>
        </x:is>
      </x:c>
      <x:c r="B21" s="7" t="inlineStr">
        <x:is>
          <x:t xml:space="preserve">Clause_Category</x:t>
        </x:is>
      </x:c>
      <x:c r="C21" s="7" t="inlineStr">
        <x:is>
          <x:t xml:space="preserve">Rows</x:t>
        </x:is>
      </x:c>
      <x:c r="D21" s="7" t="inlineStr">
        <x:is>
          <x:t xml:space="preserve">Major+Critical</x:t>
        </x:is>
      </x:c>
      <x:c r="E21" s="7" t="inlineStr">
        <x:is>
          <x:t xml:space="preserve">Rate</x:t>
        </x:is>
      </x:c>
    </x:row>
    <x:row r="22">
      <x:c r="B22" s="13" t="inlineStr">
        <x:is>
          <x:t xml:space="preserve">Data use / model training</x:t>
        </x:is>
      </x:c>
      <x:c r="C22" s="13">
        <x:f>COUNTIFS(Intake_Register!$J$6:$J$173,B22)</x:f>
      </x:c>
      <x:c r="D22" s="13">
        <x:f>COUNTIFS(Intake_Register!$J$6:$J$173,B22,Intake_Register!$K$6:$K$173,"Major")+COUNTIFS(Intake_Register!$J$6:$J$173,B22,Intake_Register!$K$6:$K$173,"Critical")</x:f>
      </x:c>
      <x:c r="E22" s="14">
        <x:f>IFERROR(D22/C22,0)</x:f>
      </x:c>
    </x:row>
    <x:row r="23">
      <x:c r="B23" s="13" t="inlineStr">
        <x:is>
          <x:t xml:space="preserve">Sub-processors</x:t>
        </x:is>
      </x:c>
      <x:c r="C23" s="13">
        <x:f>COUNTIFS(Intake_Register!$J$6:$J$173,B23)</x:f>
      </x:c>
      <x:c r="D23" s="13">
        <x:f>COUNTIFS(Intake_Register!$J$6:$J$173,B23,Intake_Register!$K$6:$K$173,"Major")+COUNTIFS(Intake_Register!$J$6:$J$173,B23,Intake_Register!$K$6:$K$173,"Critical")</x:f>
      </x:c>
      <x:c r="E23" s="14">
        <x:f>IFERROR(D23/C23,0)</x:f>
      </x:c>
    </x:row>
    <x:row r="24">
      <x:c r="B24" s="13" t="inlineStr">
        <x:is>
          <x:t xml:space="preserve">AI transparency</x:t>
        </x:is>
      </x:c>
      <x:c r="C24" s="13">
        <x:f>COUNTIFS(Intake_Register!$J$6:$J$173,B24)</x:f>
      </x:c>
      <x:c r="D24" s="13">
        <x:f>COUNTIFS(Intake_Register!$J$6:$J$173,B24,Intake_Register!$K$6:$K$173,"Major")+COUNTIFS(Intake_Register!$J$6:$J$173,B24,Intake_Register!$K$6:$K$173,"Critical")</x:f>
      </x:c>
      <x:c r="E24" s="14">
        <x:f>IFERROR(D24/C24,0)</x:f>
      </x:c>
    </x:row>
    <x:row r="25">
      <x:c r="B25" s="13" t="inlineStr">
        <x:is>
          <x:t xml:space="preserve">Limitation of liability</x:t>
        </x:is>
      </x:c>
      <x:c r="C25" s="13">
        <x:f>COUNTIFS(Intake_Register!$J$6:$J$173,B25)</x:f>
      </x:c>
      <x:c r="D25" s="13">
        <x:f>COUNTIFS(Intake_Register!$J$6:$J$173,B25,Intake_Register!$K$6:$K$173,"Major")+COUNTIFS(Intake_Register!$J$6:$J$173,B25,Intake_Register!$K$6:$K$173,"Critical")</x:f>
      </x:c>
      <x:c r="E25" s="14">
        <x:f>IFERROR(D25/C25,0)</x:f>
      </x:c>
    </x:row>
    <x:row r="26">
      <x:c r="B26" s="13" t="inlineStr">
        <x:is>
          <x:t xml:space="preserve">Termination</x:t>
        </x:is>
      </x:c>
      <x:c r="C26" s="13">
        <x:f>COUNTIFS(Intake_Register!$J$6:$J$173,B26)</x:f>
      </x:c>
      <x:c r="D26" s="13">
        <x:f>COUNTIFS(Intake_Register!$J$6:$J$173,B26,Intake_Register!$K$6:$K$173,"Major")+COUNTIFS(Intake_Register!$J$6:$J$173,B26,Intake_Register!$K$6:$K$173,"Critical")</x:f>
      </x:c>
      <x:c r="E26" s="14">
        <x:f>IFERROR(D26/C26,0)</x:f>
      </x:c>
    </x:row>
    <x:row r="27">
      <x:c r="B27" s="13" t="inlineStr">
        <x:is>
          <x:t xml:space="preserve">Confidentiality</x:t>
        </x:is>
      </x:c>
      <x:c r="C27" s="13">
        <x:f>COUNTIFS(Intake_Register!$J$6:$J$173,B27)</x:f>
      </x:c>
      <x:c r="D27" s="13">
        <x:f>COUNTIFS(Intake_Register!$J$6:$J$173,B27,Intake_Register!$K$6:$K$173,"Major")+COUNTIFS(Intake_Register!$J$6:$J$173,B27,Intake_Register!$K$6:$K$173,"Critical")</x:f>
      </x:c>
      <x:c r="E27" s="14">
        <x:f>IFERROR(D27/C27,0)</x:f>
      </x:c>
    </x:row>
    <x:row r="28">
      <x:c r="B28" s="13" t="inlineStr">
        <x:is>
          <x:t xml:space="preserve">IP in outputs</x:t>
        </x:is>
      </x:c>
      <x:c r="C28" s="13">
        <x:f>COUNTIFS(Intake_Register!$J$6:$J$173,B28)</x:f>
      </x:c>
      <x:c r="D28" s="13">
        <x:f>COUNTIFS(Intake_Register!$J$6:$J$173,B28,Intake_Register!$K$6:$K$173,"Major")+COUNTIFS(Intake_Register!$J$6:$J$173,B28,Intake_Register!$K$6:$K$173,"Critical")</x:f>
      </x:c>
      <x:c r="E28" s="14">
        <x:f>IFERROR(D28/C28,0)</x:f>
      </x:c>
    </x:row>
    <x:row r="29">
      <x:c r="B29" s="13" t="inlineStr">
        <x:is>
          <x:t xml:space="preserve">Governing law</x:t>
        </x:is>
      </x:c>
      <x:c r="C29" s="13">
        <x:f>COUNTIFS(Intake_Register!$J$6:$J$173,B29)</x:f>
      </x:c>
      <x:c r="D29" s="13">
        <x:f>COUNTIFS(Intake_Register!$J$6:$J$173,B29,Intake_Register!$K$6:$K$173,"Major")+COUNTIFS(Intake_Register!$J$6:$J$173,B29,Intake_Register!$K$6:$K$173,"Critical")</x:f>
      </x:c>
      <x:c r="E29" s="14">
        <x:f>IFERROR(D29/C29,0)</x:f>
      </x:c>
    </x:row>
    <x:row r="30">
      <x:c r="B30" s="13" t="inlineStr">
        <x:is>
          <x:t xml:space="preserve">Audit rights</x:t>
        </x:is>
      </x:c>
      <x:c r="C30" s="13">
        <x:f>COUNTIFS(Intake_Register!$J$6:$J$173,B30)</x:f>
      </x:c>
      <x:c r="D30" s="13">
        <x:f>COUNTIFS(Intake_Register!$J$6:$J$173,B30,Intake_Register!$K$6:$K$173,"Major")+COUNTIFS(Intake_Register!$J$6:$J$173,B30,Intake_Register!$K$6:$K$173,"Critical")</x:f>
      </x:c>
      <x:c r="E30" s="14">
        <x:f>IFERROR(D30/C30,0)</x:f>
      </x:c>
    </x:row>
    <x:row r="31"/>
    <x:row r="32">
      <x:c r="A32" s="5" t="inlineStr">
        <x:is>
          <x:t xml:space="preserve">Support table C - Risk_Level, escalation and open items</x:t>
        </x:is>
      </x:c>
    </x:row>
    <x:row r="33">
      <x:c r="A33" s="7" t="inlineStr">
        <x:is>
          <x:t xml:space="preserve"/>
        </x:is>
      </x:c>
      <x:c r="B33" s="7" t="inlineStr">
        <x:is>
          <x:t xml:space="preserve">Risk_Level</x:t>
        </x:is>
      </x:c>
      <x:c r="C33" s="7" t="inlineStr">
        <x:is>
          <x:t xml:space="preserve">Requests</x:t>
        </x:is>
      </x:c>
      <x:c r="D33" s="7" t="inlineStr">
        <x:is>
          <x:t xml:space="preserve">Escalated = No</x:t>
        </x:is>
      </x:c>
      <x:c r="E33" s="7" t="inlineStr">
        <x:is>
          <x:t xml:space="preserve">Open</x:t>
        </x:is>
      </x:c>
    </x:row>
    <x:row r="34">
      <x:c r="B34" s="13" t="inlineStr">
        <x:is>
          <x:t xml:space="preserve">Low</x:t>
        </x:is>
      </x:c>
      <x:c r="C34" s="13">
        <x:f>COUNTIFS(Intake_Register!$R$6:$R$173,B34)</x:f>
      </x:c>
      <x:c r="D34" s="13">
        <x:f>COUNTIFS(Intake_Register!$R$6:$R$173,B34,Intake_Register!$V$6:$V$173,"No")</x:f>
      </x:c>
      <x:c r="E34" s="13">
        <x:f>COUNTIFS(Intake_Register!$R$6:$R$173,B34,Intake_Register!$U$6:$U$173,"&lt;&gt;Closed")</x:f>
      </x:c>
    </x:row>
    <x:row r="35">
      <x:c r="B35" s="13" t="inlineStr">
        <x:is>
          <x:t xml:space="preserve">Medium</x:t>
        </x:is>
      </x:c>
      <x:c r="C35" s="13">
        <x:f>COUNTIFS(Intake_Register!$R$6:$R$173,B35)</x:f>
      </x:c>
      <x:c r="D35" s="13">
        <x:f>COUNTIFS(Intake_Register!$R$6:$R$173,B35,Intake_Register!$V$6:$V$173,"No")</x:f>
      </x:c>
      <x:c r="E35" s="13">
        <x:f>COUNTIFS(Intake_Register!$R$6:$R$173,B35,Intake_Register!$U$6:$U$173,"&lt;&gt;Closed")</x:f>
      </x:c>
    </x:row>
    <x:row r="36">
      <x:c r="B36" s="13" t="inlineStr">
        <x:is>
          <x:t xml:space="preserve">High</x:t>
        </x:is>
      </x:c>
      <x:c r="C36" s="13">
        <x:f>COUNTIFS(Intake_Register!$R$6:$R$173,B36)</x:f>
      </x:c>
      <x:c r="D36" s="13">
        <x:f>COUNTIFS(Intake_Register!$R$6:$R$173,B36,Intake_Register!$V$6:$V$173,"No")</x:f>
      </x:c>
      <x:c r="E36" s="13">
        <x:f>COUNTIFS(Intake_Register!$R$6:$R$173,B36,Intake_Register!$U$6:$U$173,"&lt;&gt;Closed")</x:f>
      </x:c>
    </x:row>
    <x:row r="37">
      <x:c r="B37" s="13" t="inlineStr">
        <x:is>
          <x:t xml:space="preserve">Critical</x:t>
        </x:is>
      </x:c>
      <x:c r="C37" s="13">
        <x:f>COUNTIFS(Intake_Register!$R$6:$R$173,B37)</x:f>
      </x:c>
      <x:c r="D37" s="13">
        <x:f>COUNTIFS(Intake_Register!$R$6:$R$173,B37,Intake_Register!$V$6:$V$173,"No")</x:f>
      </x:c>
      <x:c r="E37" s="13">
        <x:f>COUNTIFS(Intake_Register!$R$6:$R$173,B37,Intake_Register!$U$6:$U$173,"&lt;&gt;Closed")</x:f>
      </x:c>
    </x:row>
    <x:row r="38"/>
    <x:row r="39">
      <x:c r="A39" s="5" t="inlineStr">
        <x:is>
          <x:t xml:space="preserve">Support table D - average days to close by Jurisdiction_Flag (Closed only)</x:t>
        </x:is>
      </x:c>
    </x:row>
    <x:row r="40">
      <x:c r="A40" s="7" t="inlineStr">
        <x:is>
          <x:t xml:space="preserve"/>
        </x:is>
      </x:c>
      <x:c r="B40" s="7" t="inlineStr">
        <x:is>
          <x:t xml:space="preserve">Jurisdiction_Flag</x:t>
        </x:is>
      </x:c>
      <x:c r="C40" s="7" t="inlineStr">
        <x:is>
          <x:t xml:space="preserve">Closed</x:t>
        </x:is>
      </x:c>
      <x:c r="D40" s="7" t="inlineStr">
        <x:is>
          <x:t xml:space="preserve">Avg days</x:t>
        </x:is>
      </x:c>
      <x:c r="E40" s="7" t="inlineStr">
        <x:is>
          <x:t xml:space="preserve"/>
        </x:is>
      </x:c>
    </x:row>
    <x:row r="41">
      <x:c r="B41" s="15" t="inlineStr">
        <x:is>
          <x:t xml:space="preserve">Single market</x:t>
        </x:is>
      </x:c>
      <x:c r="C41" s="13">
        <x:f>COUNTIFS(Intake_Register!$N$6:$N$173,B41,Intake_Register!$U$6:$U$173,"Closed")</x:f>
      </x:c>
      <x:c r="D41" s="16">
        <x:f>IFERROR(AVERAGEIFS(Intake_Register!$W$6:$W$173,Intake_Register!$N$6:$N$173,B41,Intake_Register!$U$6:$U$173,"Closed"),0)</x:f>
      </x:c>
    </x:row>
    <x:row r="42">
      <x:c r="B42" s="15" t="inlineStr">
        <x:is>
          <x:t xml:space="preserve">Cross-border data transfer</x:t>
        </x:is>
      </x:c>
      <x:c r="C42" s="13">
        <x:f>COUNTIFS(Intake_Register!$N$6:$N$173,B42,Intake_Register!$U$6:$U$173,"Closed")</x:f>
      </x:c>
      <x:c r="D42" s="16">
        <x:f>IFERROR(AVERAGEIFS(Intake_Register!$W$6:$W$173,Intake_Register!$N$6:$N$173,B42,Intake_Register!$U$6:$U$173,"Closed"),0)</x:f>
      </x:c>
    </x:row>
    <x:row r="43">
      <x:c r="B43" s="15" t="inlineStr">
        <x:is>
          <x:t xml:space="preserve">Multi-jurisdiction - counsel to assess</x:t>
        </x:is>
      </x:c>
      <x:c r="C43" s="13">
        <x:f>COUNTIFS(Intake_Register!$N$6:$N$173,B43,Intake_Register!$U$6:$U$173,"Closed")</x:f>
      </x:c>
      <x:c r="D43" s="16">
        <x:f>IFERROR(AVERAGEIFS(Intake_Register!$W$6:$W$173,Intake_Register!$N$6:$N$173,B43,Intake_Register!$U$6:$U$173,"Closed"),0)</x:f>
      </x:c>
    </x:row>
    <x:row r="44">
      <x:c r="B44" s="15" t="inlineStr">
        <x:is>
          <x:t xml:space="preserve">Emerging AI regulation - counsel to assess</x:t>
        </x:is>
      </x:c>
      <x:c r="C44" s="13">
        <x:f>COUNTIFS(Intake_Register!$N$6:$N$173,B44,Intake_Register!$U$6:$U$173,"Closed")</x:f>
      </x:c>
      <x:c r="D44" s="16">
        <x:f>IFERROR(AVERAGEIFS(Intake_Register!$W$6:$W$173,Intake_Register!$N$6:$N$173,B44,Intake_Register!$U$6:$U$173,"Closed"),0)</x:f>
      </x:c>
    </x:row>
    <x:row r="45"/>
  </x:sheetData>
  <x:pageMargins left="0.7" right="0.7" top="0.75" bottom="0.75" header="0.3" footer="0.3"/>
  <x:drawing xmlns:r="http://schemas.openxmlformats.org/officeDocument/2006/relationships" r:id="R09fca937b3fe4f86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4" customWidth="1"/>
    <x:col min="3" max="3" width="90" customWidth="1"/>
    <x:col min="4" max="4" width="42" customWidth="1"/>
  </x:cols>
  <x:sheetData>
    <x:row r="1">
      <x:c r="A1" s="1" t="inlineStr">
        <x:is>
          <x:t xml:space="preserve">Copy-ready Copilot in Excel prompts</x:t>
        </x:is>
      </x:c>
    </x:row>
    <x:row r="2">
      <x:c r="A2" s="2" t="inlineStr">
        <x:is>
          <x:t xml:space="preserve">Use with the LegalIntake table on Intake_Register. Review every output - Copilot output is a draft, not legal advice.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</x:row>
    <x:row r="5">
      <x:c r="A5" s="7" t="inlineStr">
        <x:is>
          <x:t xml:space="preserve">No.</x:t>
        </x:is>
      </x:c>
      <x:c r="B5" s="7" t="inlineStr">
        <x:is>
          <x:t xml:space="preserve">Goal</x:t>
        </x:is>
      </x:c>
      <x:c r="C5" s="7" t="inlineStr">
        <x:is>
          <x:t xml:space="preserve">Prompt (copy into Copilot in Excel)</x:t>
        </x:is>
      </x:c>
      <x:c r="D5" s="7" t="inlineStr">
        <x:is>
          <x:t xml:space="preserve">What good looks like</x:t>
        </x:is>
      </x:c>
    </x:row>
    <x:row r="6" ht="105" customHeight="1">
      <x:c r="A6" s="8" t="n">
        <x:v>1</x:v>
      </x:c>
      <x:c r="B6" s="8" t="inlineStr">
        <x:is>
          <x:t xml:space="preserve">Trend in AI-related intake</x:t>
        </x:is>
      </x:c>
      <x:c r="C6" s="8" t="inlineStr">
        <x:is>
          <x:t xml:space="preserve">You are supporting the BAT Legal leadership team. Using the LegalIntake table on the Intake_Register sheet, count requests by Quarter and by whether AI_Use is 'None' or any other value. Show a table with counts, totals and the AI-related percentage for each quarter, then add a column chart. State the sample size for each quarter. Do not invent data that is not in the table.</x:t>
        </x:is>
      </x:c>
      <x:c r="D6" s="8" t="inlineStr">
        <x:is>
          <x:t xml:space="preserve">Q1 12.5% -&gt; Q3 60.7% AI-related; n=56 per quarter.</x:t>
        </x:is>
      </x:c>
    </x:row>
    <x:row r="7" ht="105" customHeight="1">
      <x:c r="A7" s="8" t="n">
        <x:v>2</x:v>
      </x:c>
      <x:c r="B7" s="8" t="inlineStr">
        <x:is>
          <x:t xml:space="preserve">Clause hotspot</x:t>
        </x:is>
      </x:c>
      <x:c r="C7" s="8" t="inlineStr">
        <x:is>
          <x:t xml:space="preserve">From the LegalIntake table, for each Clause_Category calculate the number of rows, the number where Deviation_Level is 'Major' or 'Critical', and the percentage. Sort descending by percentage. Label which findings are calculated evidence and which are your interpretation.</x:t>
        </x:is>
      </x:c>
      <x:c r="D7" s="8" t="inlineStr">
        <x:is>
          <x:t xml:space="preserve">Data use / model training highest at 77.3% (17/22).</x:t>
        </x:is>
      </x:c>
    </x:row>
    <x:row r="8" ht="105" customHeight="1">
      <x:c r="A8" s="8" t="n">
        <x:v>3</x:v>
      </x:c>
      <x:c r="B8" s="8" t="inlineStr">
        <x:is>
          <x:t xml:space="preserve">Risk by AI use</x:t>
        </x:is>
      </x:c>
      <x:c r="C8" s="8" t="inlineStr">
        <x:is>
          <x:t xml:space="preserve">Using LegalIntake, compare the average Risk_Score and the count of rows for each AI_Use value. Highlight the highest-risk AI use and show the sample size behind each average. Note any averages based on fewer than 15 rows as low-confidence.</x:t>
        </x:is>
      </x:c>
      <x:c r="D8" s="8" t="inlineStr">
        <x:is>
          <x:t xml:space="preserve">Model training on BAT data avg 13.5 (n=12, low-confidence flag) vs None 4.3.</x:t>
        </x:is>
      </x:c>
    </x:row>
    <x:row r="9" ht="105" customHeight="1">
      <x:c r="A9" s="8" t="n">
        <x:v>4</x:v>
      </x:c>
      <x:c r="B9" s="8" t="inlineStr">
        <x:is>
          <x:t xml:space="preserve">Overdue bottleneck</x:t>
        </x:is>
      </x:c>
      <x:c r="C9" s="8" t="inlineStr">
        <x:is>
          <x:t xml:space="preserve">Treat 16 October 2026 as today. In LegalIntake, find open requests (Status not 'Closed') where Due_Date is before today. Group them by Status and Owner_Team with counts. Explain in two sentences what the pattern suggests, separating evidence from inference.</x:t>
        </x:is>
      </x:c>
      <x:c r="D9" s="8" t="inlineStr">
        <x:is>
          <x:t xml:space="preserve">16 of 61 open items overdue; all are 'Awaiting business info'.</x:t>
        </x:is>
      </x:c>
    </x:row>
    <x:row r="10" ht="105" customHeight="1">
      <x:c r="A10" s="8" t="n">
        <x:v>5</x:v>
      </x:c>
      <x:c r="B10" s="8" t="inlineStr">
        <x:is>
          <x:t xml:space="preserve">Escalation control check</x:t>
        </x:is>
      </x:c>
      <x:c r="C10" s="8" t="inlineStr">
        <x:is>
          <x:t xml:space="preserve">Our escalation guide says every Critical Risk_Level item must be escalated. In LegalIntake, list every row where Risk_Level is 'Critical' and Escalated is 'No', showing Request_ID, Counterparty_Fictional, Clause_Category, Status and Owner_Team. Do not decide whether the item is compliant - just list exceptions for human follow-up.</x:t>
        </x:is>
      </x:c>
      <x:c r="D10" s="8" t="inlineStr">
        <x:is>
          <x:t xml:space="preserve">4 rows: LGL-26-0052, LGL-26-0074, LGL-26-0108, LGL-26-0112.</x:t>
        </x:is>
      </x:c>
    </x:row>
    <x:row r="11" ht="105" customHeight="1">
      <x:c r="A11" s="8" t="n">
        <x:v>6</x:v>
      </x:c>
      <x:c r="B11" s="8" t="inlineStr">
        <x:is>
          <x:t xml:space="preserve">Jurisdiction complexity</x:t>
        </x:is>
      </x:c>
      <x:c r="C11" s="8" t="inlineStr">
        <x:is>
          <x:t xml:space="preserve">For Closed requests in LegalIntake, compare average Days_Open by Jurisdiction_Flag with counts. Flag that 'counsel to assess' values are not legal determinations and that market-specific rules are outside this dataset.</x:t>
        </x:is>
      </x:c>
      <x:c r="D11" s="8" t="inlineStr">
        <x:is>
          <x:t xml:space="preserve">Emerging AI regulation 24.5 days vs Single market 8.8 days.</x:t>
        </x:is>
      </x:c>
    </x:row>
    <x:row r="12" ht="105" customHeight="1">
      <x:c r="A12" s="8" t="n">
        <x:v>7</x:v>
      </x:c>
      <x:c r="B12" s="8" t="inlineStr">
        <x:is>
          <x:t xml:space="preserve">Counterparty concentration</x:t>
        </x:is>
      </x:c>
      <x:c r="C12" s="8" t="inlineStr">
        <x:is>
          <x:t xml:space="preserve">In LegalIntake, what share of all requests come from Counterparty_Type 'AI/analytics vendor', and what share of all Major or Critical deviations do they account for? Show both numerators and denominators.</x:t>
        </x:is>
      </x:c>
      <x:c r="D12" s="8" t="inlineStr">
        <x:is>
          <x:t xml:space="preserve">18.5% of requests vs 28.0% of Major/Critical deviations.</x:t>
        </x:is>
      </x:c>
    </x:row>
    <x:row r="13" ht="105" customHeight="1">
      <x:c r="A13" s="8" t="n">
        <x:v>8</x:v>
      </x:c>
      <x:c r="B13" s="8" t="inlineStr">
        <x:is>
          <x:t xml:space="preserve">Risk register for briefing</x:t>
        </x:is>
      </x:c>
      <x:c r="C13" s="8" t="inlineStr">
        <x:is>
          <x:t xml:space="preserve">Create a new sheet called Briefing_Top10 listing the 10 open requests with the highest Risk_Score (Request_ID, Market, Counterparty_Fictional, Clause_Category, Deviation_Level, AI_Use, Jurisdiction_Flag, Risk_Level, Owner_Team, Due_Date, Status). Add a 'Suggested route' column using only the escalation owners named in the Legal Risk and Escalation Guide; mark it 'Draft - counsel to confirm'.</x:t>
        </x:is>
      </x:c>
      <x:c r="D13" s="8" t="inlineStr">
        <x:is>
          <x:t xml:space="preserve">Top-10 open items sheet with routes marked draft; no legal conclusions.</x:t>
        </x:is>
      </x:c>
    </x:row>
  </x:sheetData>
  <x:pageMargins left="0.7" right="0.7" top="0.75" bottom="0.75" header="0.3" footer="0.3"/>
</x: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